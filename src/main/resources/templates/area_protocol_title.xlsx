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192.168.15.200\3. Protokoly\2026\Заявка 1 К Групп\"/>
    </mc:Choice>
  </mc:AlternateContent>
  <xr:revisionPtr revIDLastSave="0" documentId="13_ncr:1_{7860DE93-3082-4712-B3DF-F9FCCCC3C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итульный" sheetId="1" r:id="rId1"/>
    <sheet name="МЭД" sheetId="4" r:id="rId2"/>
    <sheet name="ППР" sheetId="5" r:id="rId3"/>
    <sheet name="генератор" sheetId="2" r:id="rId4"/>
    <sheet name="генератор (2)" sheetId="6" r:id="rId5"/>
  </sheets>
  <definedNames>
    <definedName name="_xlnm.Print_Titles" localSheetId="1">МЭД!$6:$6</definedName>
    <definedName name="_xlnm.Print_Titles" localSheetId="2">ППР!$4:$4</definedName>
    <definedName name="_xlnm.Print_Area" localSheetId="1">МЭД!$A$1:$M$95</definedName>
    <definedName name="_xlnm.Print_Area" localSheetId="2">ППР!$A$1:$N$91</definedName>
    <definedName name="_xlnm.Print_Area" localSheetId="0">Титульный!$A$1:$Z$89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5" l="1"/>
  <c r="Y65" i="5" l="1"/>
  <c r="X65" i="5"/>
  <c r="M65" i="5"/>
  <c r="Y66" i="5"/>
  <c r="X66" i="5"/>
  <c r="M66" i="5"/>
  <c r="Y67" i="5"/>
  <c r="X67" i="5"/>
  <c r="M67" i="5"/>
  <c r="Y68" i="5"/>
  <c r="X68" i="5"/>
  <c r="M68" i="5"/>
  <c r="Y69" i="5"/>
  <c r="X69" i="5"/>
  <c r="M69" i="5"/>
  <c r="Y70" i="5"/>
  <c r="X70" i="5"/>
  <c r="M70" i="5"/>
  <c r="Y71" i="5"/>
  <c r="X71" i="5"/>
  <c r="M71" i="5"/>
  <c r="Y72" i="5"/>
  <c r="X72" i="5"/>
  <c r="M72" i="5"/>
  <c r="L74" i="5"/>
  <c r="P72" i="5" s="1"/>
  <c r="T72" i="5" s="1"/>
  <c r="Y59" i="5"/>
  <c r="X59" i="5"/>
  <c r="M59" i="5"/>
  <c r="Y58" i="5"/>
  <c r="X58" i="5"/>
  <c r="M58" i="5"/>
  <c r="Y57" i="5"/>
  <c r="X57" i="5"/>
  <c r="M57" i="5"/>
  <c r="Y56" i="5"/>
  <c r="X56" i="5"/>
  <c r="M56" i="5"/>
  <c r="Y55" i="5"/>
  <c r="X55" i="5"/>
  <c r="M55" i="5"/>
  <c r="Y54" i="5"/>
  <c r="X54" i="5"/>
  <c r="M54" i="5"/>
  <c r="Y53" i="5"/>
  <c r="X53" i="5"/>
  <c r="M53" i="5"/>
  <c r="Y52" i="5"/>
  <c r="X52" i="5"/>
  <c r="M52" i="5"/>
  <c r="Y51" i="5"/>
  <c r="X51" i="5"/>
  <c r="M51" i="5"/>
  <c r="Y48" i="5"/>
  <c r="X48" i="5"/>
  <c r="M48" i="5"/>
  <c r="Y18" i="5"/>
  <c r="X18" i="5"/>
  <c r="M18" i="5"/>
  <c r="Y17" i="5"/>
  <c r="X17" i="5"/>
  <c r="M17" i="5"/>
  <c r="Y16" i="5"/>
  <c r="X16" i="5"/>
  <c r="M16" i="5"/>
  <c r="Y15" i="5"/>
  <c r="X15" i="5"/>
  <c r="M15" i="5"/>
  <c r="Y14" i="5"/>
  <c r="X14" i="5"/>
  <c r="M14" i="5"/>
  <c r="Y13" i="5"/>
  <c r="X13" i="5"/>
  <c r="M13" i="5"/>
  <c r="Y12" i="5"/>
  <c r="X12" i="5"/>
  <c r="M12" i="5"/>
  <c r="Y25" i="5"/>
  <c r="X25" i="5"/>
  <c r="M25" i="5"/>
  <c r="Y24" i="5"/>
  <c r="X24" i="5"/>
  <c r="M24" i="5"/>
  <c r="Y23" i="5"/>
  <c r="X23" i="5"/>
  <c r="M23" i="5"/>
  <c r="Y22" i="5"/>
  <c r="X22" i="5"/>
  <c r="M22" i="5"/>
  <c r="Y21" i="5"/>
  <c r="X21" i="5"/>
  <c r="M21" i="5"/>
  <c r="Y20" i="5"/>
  <c r="X20" i="5"/>
  <c r="M20" i="5"/>
  <c r="Y19" i="5"/>
  <c r="X19" i="5"/>
  <c r="M19" i="5"/>
  <c r="Y32" i="5"/>
  <c r="X32" i="5"/>
  <c r="M32" i="5"/>
  <c r="Y31" i="5"/>
  <c r="X31" i="5"/>
  <c r="M31" i="5"/>
  <c r="Y30" i="5"/>
  <c r="X30" i="5"/>
  <c r="M30" i="5"/>
  <c r="Y29" i="5"/>
  <c r="X29" i="5"/>
  <c r="M29" i="5"/>
  <c r="Y28" i="5"/>
  <c r="X28" i="5"/>
  <c r="M28" i="5"/>
  <c r="Y27" i="5"/>
  <c r="X27" i="5"/>
  <c r="M27" i="5"/>
  <c r="Y26" i="5"/>
  <c r="X26" i="5"/>
  <c r="M26" i="5"/>
  <c r="Y39" i="5"/>
  <c r="X39" i="5"/>
  <c r="M39" i="5"/>
  <c r="Y38" i="5"/>
  <c r="X38" i="5"/>
  <c r="M38" i="5"/>
  <c r="Y37" i="5"/>
  <c r="X37" i="5"/>
  <c r="M37" i="5"/>
  <c r="Y36" i="5"/>
  <c r="X36" i="5"/>
  <c r="M36" i="5"/>
  <c r="Y35" i="5"/>
  <c r="X35" i="5"/>
  <c r="M35" i="5"/>
  <c r="Y34" i="5"/>
  <c r="X34" i="5"/>
  <c r="M34" i="5"/>
  <c r="Y33" i="5"/>
  <c r="X33" i="5"/>
  <c r="M33" i="5"/>
  <c r="Y46" i="5"/>
  <c r="X46" i="5"/>
  <c r="M46" i="5"/>
  <c r="Y45" i="5"/>
  <c r="X45" i="5"/>
  <c r="M45" i="5"/>
  <c r="Y44" i="5"/>
  <c r="X44" i="5"/>
  <c r="M44" i="5"/>
  <c r="Y43" i="5"/>
  <c r="X43" i="5"/>
  <c r="M43" i="5"/>
  <c r="Y42" i="5"/>
  <c r="X42" i="5"/>
  <c r="M42" i="5"/>
  <c r="Y41" i="5"/>
  <c r="X41" i="5"/>
  <c r="M41" i="5"/>
  <c r="Y40" i="5"/>
  <c r="X40" i="5"/>
  <c r="M40" i="5"/>
  <c r="B86" i="6"/>
  <c r="T39" i="4"/>
  <c r="T40" i="4"/>
  <c r="T41" i="4"/>
  <c r="T42" i="4"/>
  <c r="T43" i="4"/>
  <c r="T44" i="4"/>
  <c r="T45" i="4"/>
  <c r="T46" i="4"/>
  <c r="T47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S43" i="4" a="1"/>
  <c r="S43" i="4" s="1"/>
  <c r="S47" i="4" a="1"/>
  <c r="S47" i="4" s="1"/>
  <c r="S46" i="4" a="1"/>
  <c r="S46" i="4" s="1"/>
  <c r="S45" i="4" a="1"/>
  <c r="S45" i="4" s="1"/>
  <c r="S44" i="4"/>
  <c r="S44" i="4" a="1"/>
  <c r="S42" i="4" a="1"/>
  <c r="S42" i="4" s="1"/>
  <c r="S41" i="4" a="1"/>
  <c r="S41" i="4" s="1"/>
  <c r="S40" i="4"/>
  <c r="S40" i="4" a="1"/>
  <c r="S39" i="4" a="1"/>
  <c r="S39" i="4" s="1"/>
  <c r="S38" i="4" a="1"/>
  <c r="S38" i="4" s="1"/>
  <c r="S37" i="4" a="1"/>
  <c r="S37" i="4" s="1"/>
  <c r="S36" i="4" a="1"/>
  <c r="S36" i="4" s="1"/>
  <c r="S35" i="4" a="1"/>
  <c r="S35" i="4" s="1"/>
  <c r="S34" i="4"/>
  <c r="S34" i="4" a="1"/>
  <c r="S33" i="4" a="1"/>
  <c r="S33" i="4" s="1"/>
  <c r="S32" i="4" a="1"/>
  <c r="S32" i="4" s="1"/>
  <c r="S31" i="4" a="1"/>
  <c r="S31" i="4" s="1"/>
  <c r="S30" i="4"/>
  <c r="S30" i="4" a="1"/>
  <c r="S29" i="4" a="1"/>
  <c r="S29" i="4" s="1"/>
  <c r="S28" i="4" a="1"/>
  <c r="S28" i="4" s="1"/>
  <c r="S27" i="4" a="1"/>
  <c r="S27" i="4" s="1"/>
  <c r="S26" i="4" a="1"/>
  <c r="S26" i="4" s="1"/>
  <c r="S25" i="4" a="1"/>
  <c r="S25" i="4" s="1"/>
  <c r="S24" i="4"/>
  <c r="S24" i="4" a="1"/>
  <c r="S23" i="4"/>
  <c r="S23" i="4" a="1"/>
  <c r="S22" i="4" a="1"/>
  <c r="S22" i="4" s="1"/>
  <c r="S21" i="4" a="1"/>
  <c r="S21" i="4" s="1"/>
  <c r="S20" i="4"/>
  <c r="S20" i="4" a="1"/>
  <c r="S19" i="4"/>
  <c r="S19" i="4" a="1"/>
  <c r="S18" i="4" a="1"/>
  <c r="S18" i="4" s="1"/>
  <c r="S17" i="4" a="1"/>
  <c r="S17" i="4" s="1"/>
  <c r="S16" i="4" a="1"/>
  <c r="S16" i="4" s="1"/>
  <c r="S15" i="4"/>
  <c r="S15" i="4" a="1"/>
  <c r="S14" i="4" a="1"/>
  <c r="S14" i="4" s="1"/>
  <c r="S13" i="4" a="1"/>
  <c r="S13" i="4" s="1"/>
  <c r="S12" i="4" a="1"/>
  <c r="S12" i="4" s="1"/>
  <c r="S11" i="4"/>
  <c r="S11" i="4" a="1"/>
  <c r="S10" i="4" a="1"/>
  <c r="S10" i="4" s="1"/>
  <c r="S9" i="4" a="1"/>
  <c r="S9" i="4" s="1"/>
  <c r="S8" i="4" a="1"/>
  <c r="S8" i="4" s="1"/>
  <c r="S7" i="4" a="1"/>
  <c r="S7" i="4" s="1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" i="6"/>
  <c r="BJ63" i="4"/>
  <c r="BK63" i="4" s="1"/>
  <c r="L63" i="4" s="1"/>
  <c r="BJ62" i="4"/>
  <c r="BK62" i="4" s="1"/>
  <c r="L62" i="4" s="1"/>
  <c r="BJ61" i="4"/>
  <c r="BK61" i="4" s="1"/>
  <c r="L61" i="4" s="1"/>
  <c r="BJ60" i="4"/>
  <c r="BK60" i="4" s="1"/>
  <c r="L60" i="4" s="1"/>
  <c r="BJ59" i="4"/>
  <c r="BK59" i="4" s="1"/>
  <c r="L59" i="4" s="1"/>
  <c r="BJ58" i="4"/>
  <c r="BK58" i="4" s="1"/>
  <c r="L58" i="4" s="1"/>
  <c r="BJ57" i="4"/>
  <c r="BK57" i="4" s="1"/>
  <c r="L57" i="4" s="1"/>
  <c r="BJ70" i="4"/>
  <c r="BK70" i="4" s="1"/>
  <c r="L70" i="4" s="1"/>
  <c r="BJ69" i="4"/>
  <c r="BK69" i="4" s="1"/>
  <c r="L69" i="4" s="1"/>
  <c r="BJ68" i="4"/>
  <c r="BK68" i="4" s="1"/>
  <c r="L68" i="4" s="1"/>
  <c r="BJ67" i="4"/>
  <c r="BK67" i="4" s="1"/>
  <c r="L67" i="4" s="1"/>
  <c r="BJ66" i="4"/>
  <c r="BK66" i="4" s="1"/>
  <c r="L66" i="4" s="1"/>
  <c r="BJ65" i="4"/>
  <c r="BK65" i="4" s="1"/>
  <c r="L65" i="4" s="1"/>
  <c r="BJ64" i="4"/>
  <c r="BK64" i="4" s="1"/>
  <c r="L64" i="4" s="1"/>
  <c r="BJ77" i="4"/>
  <c r="BK77" i="4" s="1"/>
  <c r="L77" i="4" s="1"/>
  <c r="BJ76" i="4"/>
  <c r="BK76" i="4" s="1"/>
  <c r="L76" i="4" s="1"/>
  <c r="BJ75" i="4"/>
  <c r="BK75" i="4" s="1"/>
  <c r="L75" i="4" s="1"/>
  <c r="BJ74" i="4"/>
  <c r="BK74" i="4" s="1"/>
  <c r="L74" i="4" s="1"/>
  <c r="BJ73" i="4"/>
  <c r="BK73" i="4" s="1"/>
  <c r="L73" i="4" s="1"/>
  <c r="BJ72" i="4"/>
  <c r="BK72" i="4" s="1"/>
  <c r="L72" i="4" s="1"/>
  <c r="BJ71" i="4"/>
  <c r="BK71" i="4" s="1"/>
  <c r="L71" i="4" s="1"/>
  <c r="BJ84" i="4"/>
  <c r="BK84" i="4" s="1"/>
  <c r="L84" i="4" s="1"/>
  <c r="BJ83" i="4"/>
  <c r="BK83" i="4" s="1"/>
  <c r="L83" i="4" s="1"/>
  <c r="BJ82" i="4"/>
  <c r="BK82" i="4" s="1"/>
  <c r="L82" i="4" s="1"/>
  <c r="BJ81" i="4"/>
  <c r="BK81" i="4" s="1"/>
  <c r="L81" i="4" s="1"/>
  <c r="BJ80" i="4"/>
  <c r="BK80" i="4" s="1"/>
  <c r="L80" i="4" s="1"/>
  <c r="BJ79" i="4"/>
  <c r="BK79" i="4" s="1"/>
  <c r="L79" i="4" s="1"/>
  <c r="BJ78" i="4"/>
  <c r="BK78" i="4" s="1"/>
  <c r="L78" i="4" s="1"/>
  <c r="BJ91" i="4"/>
  <c r="BK91" i="4" s="1"/>
  <c r="L91" i="4" s="1"/>
  <c r="BJ90" i="4"/>
  <c r="BK90" i="4" s="1"/>
  <c r="L90" i="4" s="1"/>
  <c r="BJ89" i="4"/>
  <c r="BK89" i="4" s="1"/>
  <c r="L89" i="4" s="1"/>
  <c r="BJ88" i="4"/>
  <c r="BK88" i="4" s="1"/>
  <c r="L88" i="4" s="1"/>
  <c r="BJ87" i="4"/>
  <c r="BK87" i="4" s="1"/>
  <c r="L87" i="4" s="1"/>
  <c r="BJ86" i="4"/>
  <c r="BK86" i="4" s="1"/>
  <c r="L86" i="4" s="1"/>
  <c r="BJ85" i="4"/>
  <c r="BK85" i="4" s="1"/>
  <c r="L85" i="4" s="1"/>
  <c r="BJ93" i="4"/>
  <c r="BK93" i="4" s="1"/>
  <c r="L93" i="4" s="1"/>
  <c r="BJ92" i="4"/>
  <c r="BK92" i="4" s="1"/>
  <c r="L92" i="4" s="1"/>
  <c r="K38" i="4"/>
  <c r="P65" i="5" l="1"/>
  <c r="T65" i="5" s="1"/>
  <c r="P66" i="5"/>
  <c r="T66" i="5" s="1"/>
  <c r="P45" i="5"/>
  <c r="T45" i="5" s="1"/>
  <c r="P67" i="5"/>
  <c r="T67" i="5" s="1"/>
  <c r="P68" i="5"/>
  <c r="T68" i="5" s="1"/>
  <c r="P69" i="5"/>
  <c r="T69" i="5" s="1"/>
  <c r="P70" i="5"/>
  <c r="T70" i="5" s="1"/>
  <c r="P71" i="5"/>
  <c r="T71" i="5" s="1"/>
  <c r="P55" i="5"/>
  <c r="T55" i="5" s="1"/>
  <c r="P52" i="5"/>
  <c r="T52" i="5" s="1"/>
  <c r="P57" i="5"/>
  <c r="T57" i="5" s="1"/>
  <c r="P54" i="5"/>
  <c r="T54" i="5" s="1"/>
  <c r="P51" i="5"/>
  <c r="T51" i="5" s="1"/>
  <c r="P59" i="5"/>
  <c r="T59" i="5" s="1"/>
  <c r="P56" i="5"/>
  <c r="T56" i="5" s="1"/>
  <c r="P53" i="5"/>
  <c r="T53" i="5" s="1"/>
  <c r="P48" i="5"/>
  <c r="T48" i="5" s="1"/>
  <c r="P58" i="5"/>
  <c r="T58" i="5" s="1"/>
  <c r="P14" i="5"/>
  <c r="T14" i="5" s="1"/>
  <c r="P16" i="5"/>
  <c r="T16" i="5" s="1"/>
  <c r="P13" i="5"/>
  <c r="T13" i="5" s="1"/>
  <c r="P18" i="5"/>
  <c r="T18" i="5" s="1"/>
  <c r="P15" i="5"/>
  <c r="T15" i="5" s="1"/>
  <c r="P12" i="5"/>
  <c r="T12" i="5" s="1"/>
  <c r="P17" i="5"/>
  <c r="T17" i="5" s="1"/>
  <c r="P21" i="5"/>
  <c r="T21" i="5" s="1"/>
  <c r="P23" i="5"/>
  <c r="T23" i="5" s="1"/>
  <c r="P20" i="5"/>
  <c r="T20" i="5" s="1"/>
  <c r="P25" i="5"/>
  <c r="T25" i="5" s="1"/>
  <c r="P22" i="5"/>
  <c r="T22" i="5" s="1"/>
  <c r="P28" i="5"/>
  <c r="T28" i="5" s="1"/>
  <c r="P19" i="5"/>
  <c r="T19" i="5" s="1"/>
  <c r="P24" i="5"/>
  <c r="T24" i="5" s="1"/>
  <c r="P30" i="5"/>
  <c r="T30" i="5" s="1"/>
  <c r="P27" i="5"/>
  <c r="T27" i="5" s="1"/>
  <c r="P32" i="5"/>
  <c r="T32" i="5" s="1"/>
  <c r="P29" i="5"/>
  <c r="T29" i="5" s="1"/>
  <c r="P26" i="5"/>
  <c r="T26" i="5" s="1"/>
  <c r="P31" i="5"/>
  <c r="T31" i="5" s="1"/>
  <c r="P37" i="5"/>
  <c r="T37" i="5" s="1"/>
  <c r="P34" i="5"/>
  <c r="T34" i="5" s="1"/>
  <c r="P39" i="5"/>
  <c r="T39" i="5" s="1"/>
  <c r="P36" i="5"/>
  <c r="T36" i="5" s="1"/>
  <c r="P35" i="5"/>
  <c r="T35" i="5" s="1"/>
  <c r="P33" i="5"/>
  <c r="T33" i="5" s="1"/>
  <c r="P38" i="5"/>
  <c r="T38" i="5" s="1"/>
  <c r="P42" i="5"/>
  <c r="T42" i="5" s="1"/>
  <c r="P44" i="5"/>
  <c r="T44" i="5" s="1"/>
  <c r="P41" i="5"/>
  <c r="T41" i="5" s="1"/>
  <c r="P46" i="5"/>
  <c r="T46" i="5" s="1"/>
  <c r="P43" i="5"/>
  <c r="T43" i="5" s="1"/>
  <c r="P40" i="5"/>
  <c r="T40" i="5" s="1"/>
  <c r="Y73" i="5"/>
  <c r="X73" i="5"/>
  <c r="M73" i="5"/>
  <c r="Y64" i="5"/>
  <c r="X64" i="5"/>
  <c r="M64" i="5"/>
  <c r="Y63" i="5"/>
  <c r="X63" i="5"/>
  <c r="M63" i="5"/>
  <c r="M29" i="4"/>
  <c r="K30" i="4"/>
  <c r="K31" i="4"/>
  <c r="BJ38" i="4"/>
  <c r="U38" i="4" s="1"/>
  <c r="K33" i="4"/>
  <c r="K28" i="4"/>
  <c r="K29" i="4"/>
  <c r="K32" i="4"/>
  <c r="K34" i="4"/>
  <c r="K35" i="4"/>
  <c r="K36" i="4"/>
  <c r="K37" i="4"/>
  <c r="BJ36" i="4" l="1"/>
  <c r="U36" i="4" s="1"/>
  <c r="BJ32" i="4"/>
  <c r="U32" i="4" s="1"/>
  <c r="BJ31" i="4"/>
  <c r="U31" i="4" s="1"/>
  <c r="BJ30" i="4"/>
  <c r="U30" i="4" s="1"/>
  <c r="BJ33" i="4"/>
  <c r="U33" i="4" s="1"/>
  <c r="BJ35" i="4"/>
  <c r="U35" i="4" s="1"/>
  <c r="BJ34" i="4"/>
  <c r="U34" i="4" s="1"/>
  <c r="BJ29" i="4"/>
  <c r="U29" i="4" s="1"/>
  <c r="BJ28" i="4"/>
  <c r="U28" i="4" s="1"/>
  <c r="BJ37" i="4"/>
  <c r="U37" i="4" s="1"/>
  <c r="V37" i="4"/>
  <c r="W37" i="4" s="1"/>
  <c r="X37" i="4" s="1"/>
  <c r="L37" i="4" s="1"/>
  <c r="V38" i="4"/>
  <c r="W38" i="4" s="1"/>
  <c r="X38" i="4" s="1"/>
  <c r="L38" i="4" s="1"/>
  <c r="V34" i="4" l="1"/>
  <c r="W34" i="4" s="1"/>
  <c r="X34" i="4" s="1"/>
  <c r="L34" i="4" s="1"/>
  <c r="V28" i="4"/>
  <c r="W28" i="4" s="1"/>
  <c r="X28" i="4" s="1"/>
  <c r="L28" i="4" s="1"/>
  <c r="V35" i="4"/>
  <c r="W35" i="4" s="1"/>
  <c r="X35" i="4" s="1"/>
  <c r="L35" i="4" s="1"/>
  <c r="V29" i="4"/>
  <c r="W29" i="4" s="1"/>
  <c r="X29" i="4" s="1"/>
  <c r="L29" i="4" s="1"/>
  <c r="V33" i="4"/>
  <c r="W33" i="4" s="1"/>
  <c r="X33" i="4" s="1"/>
  <c r="L33" i="4" s="1"/>
  <c r="V31" i="4"/>
  <c r="W31" i="4" s="1"/>
  <c r="X31" i="4" s="1"/>
  <c r="L31" i="4" s="1"/>
  <c r="V30" i="4"/>
  <c r="W30" i="4" s="1"/>
  <c r="X30" i="4" s="1"/>
  <c r="L30" i="4" s="1"/>
  <c r="V32" i="4"/>
  <c r="W32" i="4" s="1"/>
  <c r="X32" i="4" s="1"/>
  <c r="L32" i="4" s="1"/>
  <c r="V36" i="4"/>
  <c r="W36" i="4" s="1"/>
  <c r="X36" i="4" s="1"/>
  <c r="L36" i="4" s="1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7" i="4"/>
  <c r="M48" i="4"/>
  <c r="M16" i="4"/>
  <c r="M6" i="5"/>
  <c r="M7" i="5"/>
  <c r="M8" i="5"/>
  <c r="M9" i="5"/>
  <c r="M10" i="5"/>
  <c r="M11" i="5"/>
  <c r="M47" i="5"/>
  <c r="M49" i="5"/>
  <c r="M50" i="5"/>
  <c r="M60" i="5"/>
  <c r="M61" i="5"/>
  <c r="M62" i="5"/>
  <c r="X6" i="5"/>
  <c r="Y6" i="5"/>
  <c r="X7" i="5"/>
  <c r="Y7" i="5"/>
  <c r="X8" i="5"/>
  <c r="Y8" i="5"/>
  <c r="X9" i="5"/>
  <c r="Y9" i="5"/>
  <c r="X10" i="5"/>
  <c r="Y10" i="5"/>
  <c r="X11" i="5"/>
  <c r="Y11" i="5"/>
  <c r="X47" i="5"/>
  <c r="Y47" i="5"/>
  <c r="X49" i="5"/>
  <c r="Y49" i="5"/>
  <c r="X50" i="5"/>
  <c r="Y50" i="5"/>
  <c r="X60" i="5"/>
  <c r="Y60" i="5"/>
  <c r="X61" i="5"/>
  <c r="Y61" i="5"/>
  <c r="X62" i="5"/>
  <c r="Y62" i="5"/>
  <c r="Y5" i="5"/>
  <c r="X5" i="5"/>
  <c r="BJ7" i="4" l="1"/>
  <c r="U7" i="4" s="1"/>
  <c r="V7" i="4" s="1"/>
  <c r="BJ49" i="4"/>
  <c r="BK49" i="4" s="1"/>
  <c r="L49" i="4" s="1"/>
  <c r="BJ50" i="4"/>
  <c r="BK50" i="4" s="1"/>
  <c r="L50" i="4" s="1"/>
  <c r="BJ51" i="4"/>
  <c r="BK51" i="4" s="1"/>
  <c r="L51" i="4" s="1"/>
  <c r="BJ52" i="4"/>
  <c r="BK52" i="4" s="1"/>
  <c r="L52" i="4" s="1"/>
  <c r="BJ53" i="4"/>
  <c r="BK53" i="4" s="1"/>
  <c r="L53" i="4" s="1"/>
  <c r="BJ54" i="4"/>
  <c r="BK54" i="4" s="1"/>
  <c r="L54" i="4" s="1"/>
  <c r="BJ55" i="4"/>
  <c r="BK55" i="4" s="1"/>
  <c r="L55" i="4" s="1"/>
  <c r="BJ56" i="4"/>
  <c r="BK56" i="4" s="1"/>
  <c r="L56" i="4" s="1"/>
  <c r="BJ48" i="4"/>
  <c r="BK48" i="4" s="1"/>
  <c r="L48" i="4" s="1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W7" i="4" l="1"/>
  <c r="X7" i="4" s="1"/>
  <c r="L7" i="4" s="1"/>
  <c r="K8" i="4"/>
  <c r="BJ8" i="4" l="1"/>
  <c r="U8" i="4" s="1"/>
  <c r="BJ20" i="4"/>
  <c r="U20" i="4" s="1"/>
  <c r="BJ19" i="4"/>
  <c r="U19" i="4" s="1"/>
  <c r="V19" i="4" s="1"/>
  <c r="W19" i="4" s="1"/>
  <c r="X19" i="4" s="1"/>
  <c r="L19" i="4" s="1"/>
  <c r="BJ11" i="4"/>
  <c r="U11" i="4" s="1"/>
  <c r="BJ26" i="4"/>
  <c r="U26" i="4" s="1"/>
  <c r="BJ18" i="4"/>
  <c r="U18" i="4" s="1"/>
  <c r="BJ10" i="4"/>
  <c r="U10" i="4" s="1"/>
  <c r="BJ12" i="4"/>
  <c r="U12" i="4" s="1"/>
  <c r="BJ25" i="4"/>
  <c r="U25" i="4" s="1"/>
  <c r="BJ17" i="4"/>
  <c r="U17" i="4" s="1"/>
  <c r="BJ9" i="4"/>
  <c r="U9" i="4" s="1"/>
  <c r="BJ24" i="4"/>
  <c r="U24" i="4" s="1"/>
  <c r="BJ16" i="4"/>
  <c r="U16" i="4" s="1"/>
  <c r="BJ21" i="4"/>
  <c r="U21" i="4" s="1"/>
  <c r="BJ23" i="4"/>
  <c r="U23" i="4" s="1"/>
  <c r="BJ15" i="4"/>
  <c r="U15" i="4" s="1"/>
  <c r="BJ22" i="4"/>
  <c r="U22" i="4" s="1"/>
  <c r="BJ14" i="4"/>
  <c r="U14" i="4" s="1"/>
  <c r="BJ13" i="4"/>
  <c r="U13" i="4" s="1"/>
  <c r="V8" i="4" l="1"/>
  <c r="W8" i="4" s="1"/>
  <c r="X8" i="4" s="1"/>
  <c r="L8" i="4" s="1"/>
  <c r="V15" i="4"/>
  <c r="W15" i="4" s="1"/>
  <c r="X15" i="4" s="1"/>
  <c r="L15" i="4" s="1"/>
  <c r="V12" i="4"/>
  <c r="W12" i="4" s="1"/>
  <c r="X12" i="4" s="1"/>
  <c r="L12" i="4" s="1"/>
  <c r="V11" i="4"/>
  <c r="W11" i="4" s="1"/>
  <c r="X11" i="4" s="1"/>
  <c r="L11" i="4" s="1"/>
  <c r="V10" i="4"/>
  <c r="W10" i="4" s="1"/>
  <c r="X10" i="4" s="1"/>
  <c r="L10" i="4" s="1"/>
  <c r="V21" i="4"/>
  <c r="W21" i="4" s="1"/>
  <c r="X21" i="4" s="1"/>
  <c r="L21" i="4" s="1"/>
  <c r="V16" i="4"/>
  <c r="W16" i="4" s="1"/>
  <c r="X16" i="4" s="1"/>
  <c r="L16" i="4" s="1"/>
  <c r="V25" i="4"/>
  <c r="W25" i="4" s="1"/>
  <c r="X25" i="4" s="1"/>
  <c r="L25" i="4" s="1"/>
  <c r="V14" i="4"/>
  <c r="W14" i="4" s="1"/>
  <c r="X14" i="4" s="1"/>
  <c r="L14" i="4" s="1"/>
  <c r="V24" i="4"/>
  <c r="W24" i="4" s="1"/>
  <c r="X24" i="4" s="1"/>
  <c r="L24" i="4" s="1"/>
  <c r="V13" i="4"/>
  <c r="W13" i="4" s="1"/>
  <c r="X13" i="4" s="1"/>
  <c r="L13" i="4" s="1"/>
  <c r="V17" i="4"/>
  <c r="W17" i="4" s="1"/>
  <c r="X17" i="4" s="1"/>
  <c r="L17" i="4" s="1"/>
  <c r="V26" i="4"/>
  <c r="W26" i="4" s="1"/>
  <c r="X26" i="4" s="1"/>
  <c r="L26" i="4" s="1"/>
  <c r="V18" i="4"/>
  <c r="W18" i="4" s="1"/>
  <c r="X18" i="4" s="1"/>
  <c r="L18" i="4" s="1"/>
  <c r="V22" i="4"/>
  <c r="W22" i="4" s="1"/>
  <c r="X22" i="4" s="1"/>
  <c r="L22" i="4" s="1"/>
  <c r="V20" i="4"/>
  <c r="W20" i="4" s="1"/>
  <c r="X20" i="4" s="1"/>
  <c r="L20" i="4" s="1"/>
  <c r="V23" i="4"/>
  <c r="W23" i="4" s="1"/>
  <c r="X23" i="4" s="1"/>
  <c r="L23" i="4" s="1"/>
  <c r="V9" i="4"/>
  <c r="W9" i="4" s="1"/>
  <c r="X9" i="4" s="1"/>
  <c r="L9" i="4" s="1"/>
  <c r="P64" i="5" l="1"/>
  <c r="T64" i="5" s="1"/>
  <c r="P73" i="5"/>
  <c r="T73" i="5" s="1"/>
  <c r="P63" i="5"/>
  <c r="T63" i="5" s="1"/>
  <c r="X74" i="5"/>
  <c r="Y74" i="5"/>
  <c r="P47" i="5"/>
  <c r="T47" i="5" s="1"/>
  <c r="P62" i="5"/>
  <c r="T62" i="5" s="1"/>
  <c r="P9" i="5"/>
  <c r="T9" i="5" s="1"/>
  <c r="P50" i="5"/>
  <c r="T50" i="5" s="1"/>
  <c r="P11" i="5"/>
  <c r="T11" i="5" s="1"/>
  <c r="P61" i="5"/>
  <c r="T61" i="5" s="1"/>
  <c r="P8" i="5"/>
  <c r="T8" i="5" s="1"/>
  <c r="P49" i="5"/>
  <c r="T49" i="5" s="1"/>
  <c r="P10" i="5"/>
  <c r="T10" i="5" s="1"/>
  <c r="P60" i="5"/>
  <c r="T60" i="5" s="1"/>
  <c r="C96" i="6"/>
  <c r="C101" i="6"/>
  <c r="C105" i="6"/>
  <c r="C93" i="6"/>
  <c r="C110" i="6" l="1"/>
  <c r="D110" i="6" s="1"/>
  <c r="C109" i="6"/>
  <c r="C108" i="6"/>
  <c r="C107" i="6"/>
  <c r="C106" i="6"/>
  <c r="C104" i="6"/>
  <c r="C103" i="6"/>
  <c r="C102" i="6"/>
  <c r="C100" i="6"/>
  <c r="C99" i="6"/>
  <c r="C98" i="6"/>
  <c r="C97" i="6"/>
  <c r="C95" i="6"/>
  <c r="C94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D105" i="6" l="1"/>
  <c r="D101" i="6"/>
  <c r="D96" i="6"/>
  <c r="D99" i="6"/>
  <c r="D65" i="6"/>
  <c r="D84" i="6"/>
  <c r="D93" i="6"/>
  <c r="D91" i="6"/>
  <c r="D108" i="6"/>
  <c r="D28" i="6"/>
  <c r="D92" i="6"/>
  <c r="D104" i="6"/>
  <c r="D11" i="6"/>
  <c r="D69" i="6"/>
  <c r="D23" i="6"/>
  <c r="D107" i="6"/>
  <c r="D46" i="6"/>
  <c r="D40" i="6"/>
  <c r="D5" i="6"/>
  <c r="D75" i="6"/>
  <c r="D87" i="6"/>
  <c r="D7" i="6"/>
  <c r="D12" i="6"/>
  <c r="D17" i="6"/>
  <c r="D18" i="6"/>
  <c r="D24" i="6"/>
  <c r="D30" i="6"/>
  <c r="D53" i="6"/>
  <c r="D59" i="6"/>
  <c r="D71" i="6"/>
  <c r="D76" i="6"/>
  <c r="D81" i="6"/>
  <c r="D82" i="6"/>
  <c r="D88" i="6"/>
  <c r="D94" i="6"/>
  <c r="D13" i="6"/>
  <c r="D19" i="6"/>
  <c r="D31" i="6"/>
  <c r="D36" i="6"/>
  <c r="D42" i="6"/>
  <c r="D41" i="6"/>
  <c r="D48" i="6"/>
  <c r="D54" i="6"/>
  <c r="D77" i="6"/>
  <c r="D83" i="6"/>
  <c r="D95" i="6"/>
  <c r="D100" i="6"/>
  <c r="D106" i="6"/>
  <c r="D33" i="6"/>
  <c r="D34" i="6"/>
  <c r="D29" i="6"/>
  <c r="D47" i="6"/>
  <c r="D57" i="6"/>
  <c r="D58" i="6"/>
  <c r="D64" i="6"/>
  <c r="D1" i="6"/>
  <c r="D2" i="6"/>
  <c r="D37" i="6"/>
  <c r="D3" i="6"/>
  <c r="D15" i="6"/>
  <c r="D20" i="6"/>
  <c r="D25" i="6"/>
  <c r="D26" i="6"/>
  <c r="D32" i="6"/>
  <c r="D38" i="6"/>
  <c r="D61" i="6"/>
  <c r="D67" i="6"/>
  <c r="D79" i="6"/>
  <c r="D89" i="6"/>
  <c r="D90" i="6"/>
  <c r="D102" i="6"/>
  <c r="D8" i="6"/>
  <c r="D43" i="6"/>
  <c r="D60" i="6"/>
  <c r="D72" i="6"/>
  <c r="D6" i="6"/>
  <c r="D35" i="6"/>
  <c r="D52" i="6"/>
  <c r="D70" i="6"/>
  <c r="D14" i="6"/>
  <c r="D55" i="6"/>
  <c r="D66" i="6"/>
  <c r="D78" i="6"/>
  <c r="D21" i="6"/>
  <c r="D27" i="6"/>
  <c r="D39" i="6"/>
  <c r="D44" i="6"/>
  <c r="D49" i="6"/>
  <c r="D50" i="6"/>
  <c r="D56" i="6"/>
  <c r="D62" i="6"/>
  <c r="D85" i="6"/>
  <c r="D103" i="6"/>
  <c r="D4" i="6"/>
  <c r="D9" i="6"/>
  <c r="D10" i="6"/>
  <c r="D16" i="6"/>
  <c r="D22" i="6"/>
  <c r="D45" i="6"/>
  <c r="D51" i="6"/>
  <c r="D63" i="6"/>
  <c r="D68" i="6"/>
  <c r="D73" i="6"/>
  <c r="D74" i="6"/>
  <c r="D80" i="6"/>
  <c r="D86" i="6"/>
  <c r="D109" i="6"/>
  <c r="D97" i="6"/>
  <c r="D98" i="6"/>
  <c r="P7" i="5" l="1"/>
  <c r="T7" i="5" s="1"/>
  <c r="P6" i="5"/>
  <c r="T6" i="5" s="1"/>
  <c r="P5" i="5" l="1"/>
  <c r="M74" i="5" s="1"/>
  <c r="T5" i="5" l="1"/>
  <c r="G150" i="2" l="1"/>
  <c r="F150" i="2"/>
  <c r="E150" i="2"/>
  <c r="A150" i="2"/>
  <c r="G149" i="2"/>
  <c r="F149" i="2"/>
  <c r="E149" i="2"/>
  <c r="A149" i="2"/>
  <c r="G148" i="2"/>
  <c r="F148" i="2"/>
  <c r="E148" i="2"/>
  <c r="A148" i="2"/>
  <c r="G147" i="2"/>
  <c r="F147" i="2"/>
  <c r="E147" i="2"/>
  <c r="A147" i="2"/>
  <c r="G146" i="2"/>
  <c r="F146" i="2"/>
  <c r="E146" i="2"/>
  <c r="A146" i="2"/>
  <c r="G145" i="2"/>
  <c r="F145" i="2"/>
  <c r="E145" i="2"/>
  <c r="A145" i="2"/>
  <c r="G144" i="2"/>
  <c r="F144" i="2"/>
  <c r="E144" i="2"/>
  <c r="A144" i="2"/>
  <c r="G143" i="2"/>
  <c r="F143" i="2"/>
  <c r="E143" i="2"/>
  <c r="A143" i="2"/>
  <c r="G142" i="2"/>
  <c r="F142" i="2"/>
  <c r="E142" i="2"/>
  <c r="A142" i="2"/>
  <c r="G141" i="2"/>
  <c r="F141" i="2"/>
  <c r="E141" i="2"/>
  <c r="A141" i="2"/>
  <c r="G140" i="2"/>
  <c r="F140" i="2"/>
  <c r="E140" i="2"/>
  <c r="A140" i="2"/>
  <c r="G139" i="2"/>
  <c r="F139" i="2"/>
  <c r="E139" i="2"/>
  <c r="A139" i="2"/>
  <c r="G138" i="2"/>
  <c r="F138" i="2"/>
  <c r="E138" i="2"/>
  <c r="A138" i="2"/>
  <c r="G137" i="2"/>
  <c r="F137" i="2"/>
  <c r="E137" i="2"/>
  <c r="A137" i="2"/>
  <c r="G136" i="2"/>
  <c r="F136" i="2"/>
  <c r="E136" i="2"/>
  <c r="A136" i="2"/>
  <c r="G135" i="2"/>
  <c r="F135" i="2"/>
  <c r="E135" i="2"/>
  <c r="A135" i="2"/>
  <c r="G134" i="2"/>
  <c r="F134" i="2"/>
  <c r="E134" i="2"/>
  <c r="A134" i="2"/>
  <c r="G133" i="2"/>
  <c r="F133" i="2"/>
  <c r="E133" i="2"/>
  <c r="A133" i="2"/>
  <c r="G132" i="2"/>
  <c r="F132" i="2"/>
  <c r="E132" i="2"/>
  <c r="A132" i="2"/>
  <c r="G131" i="2"/>
  <c r="F131" i="2"/>
  <c r="E131" i="2"/>
  <c r="A131" i="2"/>
  <c r="G130" i="2"/>
  <c r="F130" i="2"/>
  <c r="E130" i="2"/>
  <c r="A130" i="2"/>
  <c r="G129" i="2"/>
  <c r="F129" i="2"/>
  <c r="E129" i="2"/>
  <c r="A129" i="2"/>
  <c r="G128" i="2"/>
  <c r="F128" i="2"/>
  <c r="E128" i="2"/>
  <c r="A128" i="2"/>
  <c r="G127" i="2"/>
  <c r="F127" i="2"/>
  <c r="E127" i="2"/>
  <c r="A127" i="2"/>
  <c r="G126" i="2"/>
  <c r="F126" i="2"/>
  <c r="E126" i="2"/>
  <c r="A126" i="2"/>
  <c r="G125" i="2"/>
  <c r="F125" i="2"/>
  <c r="E125" i="2"/>
  <c r="A125" i="2"/>
  <c r="G124" i="2"/>
  <c r="F124" i="2"/>
  <c r="E124" i="2"/>
  <c r="A124" i="2"/>
  <c r="G123" i="2"/>
  <c r="F123" i="2"/>
  <c r="E123" i="2"/>
  <c r="A123" i="2"/>
  <c r="G122" i="2"/>
  <c r="F122" i="2"/>
  <c r="E122" i="2"/>
  <c r="A122" i="2"/>
  <c r="G121" i="2"/>
  <c r="F121" i="2"/>
  <c r="E121" i="2"/>
  <c r="A121" i="2"/>
  <c r="G120" i="2"/>
  <c r="F120" i="2"/>
  <c r="E120" i="2"/>
  <c r="A120" i="2"/>
  <c r="G119" i="2"/>
  <c r="F119" i="2"/>
  <c r="E119" i="2"/>
  <c r="A119" i="2"/>
  <c r="G118" i="2"/>
  <c r="F118" i="2"/>
  <c r="E118" i="2"/>
  <c r="A118" i="2"/>
  <c r="G117" i="2"/>
  <c r="F117" i="2"/>
  <c r="E117" i="2"/>
  <c r="A117" i="2"/>
  <c r="G116" i="2"/>
  <c r="F116" i="2"/>
  <c r="E116" i="2"/>
  <c r="A116" i="2"/>
  <c r="G115" i="2"/>
  <c r="F115" i="2"/>
  <c r="E115" i="2"/>
  <c r="A115" i="2"/>
  <c r="G114" i="2"/>
  <c r="F114" i="2"/>
  <c r="E114" i="2"/>
  <c r="A114" i="2"/>
  <c r="G113" i="2"/>
  <c r="F113" i="2"/>
  <c r="E113" i="2"/>
  <c r="A113" i="2"/>
  <c r="G112" i="2"/>
  <c r="F112" i="2"/>
  <c r="E112" i="2"/>
  <c r="A112" i="2"/>
  <c r="G111" i="2"/>
  <c r="F111" i="2"/>
  <c r="E111" i="2"/>
  <c r="A111" i="2"/>
  <c r="G110" i="2"/>
  <c r="F110" i="2"/>
  <c r="E110" i="2"/>
  <c r="A110" i="2"/>
  <c r="G109" i="2"/>
  <c r="F109" i="2"/>
  <c r="E109" i="2"/>
  <c r="A109" i="2"/>
  <c r="G108" i="2"/>
  <c r="F108" i="2"/>
  <c r="E108" i="2"/>
  <c r="A108" i="2"/>
  <c r="G107" i="2"/>
  <c r="F107" i="2"/>
  <c r="E107" i="2"/>
  <c r="A107" i="2"/>
  <c r="G106" i="2"/>
  <c r="F106" i="2"/>
  <c r="E106" i="2"/>
  <c r="A106" i="2"/>
  <c r="G105" i="2"/>
  <c r="F105" i="2"/>
  <c r="E105" i="2"/>
  <c r="A105" i="2"/>
  <c r="G104" i="2"/>
  <c r="F104" i="2"/>
  <c r="E104" i="2"/>
  <c r="A104" i="2"/>
  <c r="G103" i="2"/>
  <c r="F103" i="2"/>
  <c r="E103" i="2"/>
  <c r="A103" i="2"/>
  <c r="G102" i="2"/>
  <c r="F102" i="2"/>
  <c r="E102" i="2"/>
  <c r="A102" i="2"/>
  <c r="G101" i="2"/>
  <c r="F101" i="2"/>
  <c r="E101" i="2"/>
  <c r="A101" i="2"/>
  <c r="G100" i="2"/>
  <c r="F100" i="2"/>
  <c r="E100" i="2"/>
  <c r="A100" i="2"/>
  <c r="G99" i="2"/>
  <c r="F99" i="2"/>
  <c r="E99" i="2"/>
  <c r="A99" i="2"/>
  <c r="G98" i="2"/>
  <c r="F98" i="2"/>
  <c r="E98" i="2"/>
  <c r="A98" i="2"/>
  <c r="G97" i="2"/>
  <c r="F97" i="2"/>
  <c r="E97" i="2"/>
  <c r="A97" i="2"/>
  <c r="G96" i="2"/>
  <c r="F96" i="2"/>
  <c r="E96" i="2"/>
  <c r="A96" i="2"/>
  <c r="G95" i="2"/>
  <c r="F95" i="2"/>
  <c r="E95" i="2"/>
  <c r="A95" i="2"/>
  <c r="G94" i="2"/>
  <c r="F94" i="2"/>
  <c r="E94" i="2"/>
  <c r="A94" i="2"/>
  <c r="G93" i="2"/>
  <c r="F93" i="2"/>
  <c r="E93" i="2"/>
  <c r="A93" i="2"/>
  <c r="G92" i="2"/>
  <c r="F92" i="2"/>
  <c r="E92" i="2"/>
  <c r="A92" i="2"/>
  <c r="G91" i="2"/>
  <c r="F91" i="2"/>
  <c r="E91" i="2"/>
  <c r="A91" i="2"/>
  <c r="G90" i="2"/>
  <c r="F90" i="2"/>
  <c r="E90" i="2"/>
  <c r="A90" i="2"/>
  <c r="G89" i="2"/>
  <c r="F89" i="2"/>
  <c r="E89" i="2"/>
  <c r="A89" i="2"/>
  <c r="G88" i="2"/>
  <c r="F88" i="2"/>
  <c r="E88" i="2"/>
  <c r="A88" i="2"/>
  <c r="G87" i="2"/>
  <c r="F87" i="2"/>
  <c r="E87" i="2"/>
  <c r="A87" i="2"/>
  <c r="G86" i="2"/>
  <c r="F86" i="2"/>
  <c r="E86" i="2"/>
  <c r="A86" i="2"/>
  <c r="G85" i="2"/>
  <c r="F85" i="2"/>
  <c r="E85" i="2"/>
  <c r="A85" i="2"/>
  <c r="G84" i="2"/>
  <c r="F84" i="2"/>
  <c r="E84" i="2"/>
  <c r="A84" i="2"/>
  <c r="G83" i="2"/>
  <c r="F83" i="2"/>
  <c r="E83" i="2"/>
  <c r="A83" i="2"/>
  <c r="G82" i="2"/>
  <c r="F82" i="2"/>
  <c r="E82" i="2"/>
  <c r="A82" i="2"/>
  <c r="G81" i="2"/>
  <c r="F81" i="2"/>
  <c r="E81" i="2"/>
  <c r="A81" i="2"/>
  <c r="G80" i="2"/>
  <c r="F80" i="2"/>
  <c r="E80" i="2"/>
  <c r="A80" i="2"/>
  <c r="G79" i="2"/>
  <c r="F79" i="2"/>
  <c r="E79" i="2"/>
  <c r="A79" i="2"/>
  <c r="G78" i="2"/>
  <c r="F78" i="2"/>
  <c r="E78" i="2"/>
  <c r="A78" i="2"/>
  <c r="G77" i="2"/>
  <c r="F77" i="2"/>
  <c r="E77" i="2"/>
  <c r="A77" i="2"/>
  <c r="G76" i="2"/>
  <c r="F76" i="2"/>
  <c r="E76" i="2"/>
  <c r="A76" i="2"/>
  <c r="G75" i="2"/>
  <c r="F75" i="2"/>
  <c r="E75" i="2"/>
  <c r="A75" i="2"/>
  <c r="G74" i="2"/>
  <c r="F74" i="2"/>
  <c r="E74" i="2"/>
  <c r="A74" i="2"/>
  <c r="G73" i="2"/>
  <c r="F73" i="2"/>
  <c r="E73" i="2"/>
  <c r="A73" i="2"/>
  <c r="G72" i="2"/>
  <c r="F72" i="2"/>
  <c r="E72" i="2"/>
  <c r="A72" i="2"/>
  <c r="G71" i="2"/>
  <c r="F71" i="2"/>
  <c r="E71" i="2"/>
  <c r="A71" i="2"/>
  <c r="P71" i="2" s="1"/>
  <c r="G70" i="2"/>
  <c r="F70" i="2"/>
  <c r="E70" i="2"/>
  <c r="A70" i="2"/>
  <c r="P70" i="2" s="1"/>
  <c r="G69" i="2"/>
  <c r="F69" i="2"/>
  <c r="E69" i="2"/>
  <c r="A69" i="2"/>
  <c r="P69" i="2" s="1"/>
  <c r="G68" i="2"/>
  <c r="F68" i="2"/>
  <c r="E68" i="2"/>
  <c r="A68" i="2"/>
  <c r="P68" i="2" s="1"/>
  <c r="G67" i="2"/>
  <c r="F67" i="2"/>
  <c r="E67" i="2"/>
  <c r="A67" i="2"/>
  <c r="P67" i="2" s="1"/>
  <c r="G66" i="2"/>
  <c r="F66" i="2"/>
  <c r="E66" i="2"/>
  <c r="A66" i="2"/>
  <c r="P66" i="2" s="1"/>
  <c r="G65" i="2"/>
  <c r="F65" i="2"/>
  <c r="E65" i="2"/>
  <c r="A65" i="2"/>
  <c r="P65" i="2" s="1"/>
  <c r="G64" i="2"/>
  <c r="F64" i="2"/>
  <c r="E64" i="2"/>
  <c r="A64" i="2"/>
  <c r="P64" i="2" s="1"/>
  <c r="G63" i="2"/>
  <c r="F63" i="2"/>
  <c r="E63" i="2"/>
  <c r="A63" i="2"/>
  <c r="P63" i="2" s="1"/>
  <c r="G62" i="2"/>
  <c r="F62" i="2"/>
  <c r="E62" i="2"/>
  <c r="A62" i="2"/>
  <c r="P62" i="2" s="1"/>
  <c r="G61" i="2"/>
  <c r="F61" i="2"/>
  <c r="E61" i="2"/>
  <c r="A61" i="2"/>
  <c r="P61" i="2" s="1"/>
  <c r="G60" i="2"/>
  <c r="F60" i="2"/>
  <c r="E60" i="2"/>
  <c r="A60" i="2"/>
  <c r="P60" i="2" s="1"/>
  <c r="G59" i="2"/>
  <c r="F59" i="2"/>
  <c r="E59" i="2"/>
  <c r="A59" i="2"/>
  <c r="P59" i="2" s="1"/>
  <c r="G58" i="2"/>
  <c r="F58" i="2"/>
  <c r="E58" i="2"/>
  <c r="A58" i="2"/>
  <c r="P58" i="2" s="1"/>
  <c r="G57" i="2"/>
  <c r="F57" i="2"/>
  <c r="E57" i="2"/>
  <c r="A57" i="2"/>
  <c r="P57" i="2" s="1"/>
  <c r="G56" i="2"/>
  <c r="F56" i="2"/>
  <c r="E56" i="2"/>
  <c r="A56" i="2"/>
  <c r="P56" i="2" s="1"/>
  <c r="G55" i="2"/>
  <c r="F55" i="2"/>
  <c r="E55" i="2"/>
  <c r="A55" i="2"/>
  <c r="P55" i="2" s="1"/>
  <c r="G54" i="2"/>
  <c r="F54" i="2"/>
  <c r="E54" i="2"/>
  <c r="A54" i="2"/>
  <c r="P54" i="2" s="1"/>
  <c r="G53" i="2"/>
  <c r="F53" i="2"/>
  <c r="E53" i="2"/>
  <c r="A53" i="2"/>
  <c r="P53" i="2" s="1"/>
  <c r="G52" i="2"/>
  <c r="F52" i="2"/>
  <c r="E52" i="2"/>
  <c r="A52" i="2"/>
  <c r="P52" i="2" s="1"/>
  <c r="G51" i="2"/>
  <c r="F51" i="2"/>
  <c r="E51" i="2"/>
  <c r="A51" i="2"/>
  <c r="P51" i="2" s="1"/>
  <c r="G50" i="2"/>
  <c r="F50" i="2"/>
  <c r="E50" i="2"/>
  <c r="A50" i="2"/>
  <c r="P50" i="2" s="1"/>
  <c r="G49" i="2"/>
  <c r="F49" i="2"/>
  <c r="E49" i="2"/>
  <c r="A49" i="2"/>
  <c r="P49" i="2" s="1"/>
  <c r="G48" i="2"/>
  <c r="F48" i="2"/>
  <c r="E48" i="2"/>
  <c r="A48" i="2"/>
  <c r="P48" i="2" s="1"/>
  <c r="G47" i="2"/>
  <c r="F47" i="2"/>
  <c r="E47" i="2"/>
  <c r="A47" i="2"/>
  <c r="P47" i="2" s="1"/>
  <c r="G46" i="2"/>
  <c r="F46" i="2"/>
  <c r="E46" i="2"/>
  <c r="A46" i="2"/>
  <c r="P46" i="2" s="1"/>
  <c r="G45" i="2"/>
  <c r="F45" i="2"/>
  <c r="E45" i="2"/>
  <c r="A45" i="2"/>
  <c r="P45" i="2" s="1"/>
  <c r="G44" i="2"/>
  <c r="F44" i="2"/>
  <c r="E44" i="2"/>
  <c r="A44" i="2"/>
  <c r="P44" i="2" s="1"/>
  <c r="G43" i="2"/>
  <c r="F43" i="2"/>
  <c r="E43" i="2"/>
  <c r="A43" i="2"/>
  <c r="P43" i="2" s="1"/>
  <c r="G42" i="2"/>
  <c r="F42" i="2"/>
  <c r="E42" i="2"/>
  <c r="A42" i="2"/>
  <c r="P42" i="2" s="1"/>
  <c r="G41" i="2"/>
  <c r="F41" i="2"/>
  <c r="E41" i="2"/>
  <c r="A41" i="2"/>
  <c r="P41" i="2" s="1"/>
  <c r="G40" i="2"/>
  <c r="F40" i="2"/>
  <c r="E40" i="2"/>
  <c r="A40" i="2"/>
  <c r="P40" i="2" s="1"/>
  <c r="G39" i="2"/>
  <c r="F39" i="2"/>
  <c r="E39" i="2"/>
  <c r="A39" i="2"/>
  <c r="P39" i="2" s="1"/>
  <c r="G38" i="2"/>
  <c r="F38" i="2"/>
  <c r="E38" i="2"/>
  <c r="A38" i="2"/>
  <c r="P38" i="2" s="1"/>
  <c r="G37" i="2"/>
  <c r="F37" i="2"/>
  <c r="E37" i="2"/>
  <c r="A37" i="2"/>
  <c r="P37" i="2" s="1"/>
  <c r="G36" i="2"/>
  <c r="V36" i="2" s="1"/>
  <c r="F36" i="2"/>
  <c r="U36" i="2" s="1"/>
  <c r="E36" i="2"/>
  <c r="T36" i="2" s="1"/>
  <c r="A36" i="2"/>
  <c r="P36" i="2" s="1"/>
  <c r="G35" i="2"/>
  <c r="V35" i="2" s="1"/>
  <c r="F35" i="2"/>
  <c r="U35" i="2" s="1"/>
  <c r="E35" i="2"/>
  <c r="T35" i="2" s="1"/>
  <c r="A35" i="2"/>
  <c r="P35" i="2" s="1"/>
  <c r="G34" i="2"/>
  <c r="V34" i="2" s="1"/>
  <c r="F34" i="2"/>
  <c r="U34" i="2" s="1"/>
  <c r="E34" i="2"/>
  <c r="T34" i="2" s="1"/>
  <c r="A34" i="2"/>
  <c r="P34" i="2" s="1"/>
  <c r="G33" i="2"/>
  <c r="V33" i="2" s="1"/>
  <c r="F33" i="2"/>
  <c r="U33" i="2" s="1"/>
  <c r="E33" i="2"/>
  <c r="T33" i="2" s="1"/>
  <c r="A33" i="2"/>
  <c r="P33" i="2" s="1"/>
  <c r="G32" i="2"/>
  <c r="V32" i="2" s="1"/>
  <c r="F32" i="2"/>
  <c r="U32" i="2" s="1"/>
  <c r="E32" i="2"/>
  <c r="T32" i="2" s="1"/>
  <c r="A32" i="2"/>
  <c r="P32" i="2" s="1"/>
  <c r="G31" i="2"/>
  <c r="V31" i="2" s="1"/>
  <c r="F31" i="2"/>
  <c r="U31" i="2" s="1"/>
  <c r="E31" i="2"/>
  <c r="T31" i="2" s="1"/>
  <c r="A31" i="2"/>
  <c r="P31" i="2" s="1"/>
  <c r="G30" i="2"/>
  <c r="V30" i="2" s="1"/>
  <c r="F30" i="2"/>
  <c r="U30" i="2" s="1"/>
  <c r="E30" i="2"/>
  <c r="T30" i="2" s="1"/>
  <c r="A30" i="2"/>
  <c r="P30" i="2" s="1"/>
  <c r="G29" i="2"/>
  <c r="V29" i="2" s="1"/>
  <c r="F29" i="2"/>
  <c r="U29" i="2" s="1"/>
  <c r="E29" i="2"/>
  <c r="T29" i="2" s="1"/>
  <c r="A29" i="2"/>
  <c r="P29" i="2" s="1"/>
  <c r="G28" i="2"/>
  <c r="V28" i="2" s="1"/>
  <c r="F28" i="2"/>
  <c r="U28" i="2" s="1"/>
  <c r="E28" i="2"/>
  <c r="T28" i="2" s="1"/>
  <c r="A28" i="2"/>
  <c r="P28" i="2" s="1"/>
  <c r="G27" i="2"/>
  <c r="V27" i="2" s="1"/>
  <c r="F27" i="2"/>
  <c r="U27" i="2" s="1"/>
  <c r="E27" i="2"/>
  <c r="T27" i="2" s="1"/>
  <c r="A27" i="2"/>
  <c r="P27" i="2" s="1"/>
  <c r="G26" i="2"/>
  <c r="V26" i="2" s="1"/>
  <c r="F26" i="2"/>
  <c r="U26" i="2" s="1"/>
  <c r="E26" i="2"/>
  <c r="T26" i="2" s="1"/>
  <c r="A26" i="2"/>
  <c r="P26" i="2" s="1"/>
  <c r="G25" i="2"/>
  <c r="V25" i="2" s="1"/>
  <c r="F25" i="2"/>
  <c r="U25" i="2" s="1"/>
  <c r="E25" i="2"/>
  <c r="T25" i="2" s="1"/>
  <c r="A25" i="2"/>
  <c r="P25" i="2" s="1"/>
  <c r="G24" i="2"/>
  <c r="V24" i="2" s="1"/>
  <c r="F24" i="2"/>
  <c r="U24" i="2" s="1"/>
  <c r="E24" i="2"/>
  <c r="T24" i="2" s="1"/>
  <c r="A24" i="2"/>
  <c r="P24" i="2" s="1"/>
  <c r="G23" i="2"/>
  <c r="V23" i="2" s="1"/>
  <c r="F23" i="2"/>
  <c r="U23" i="2" s="1"/>
  <c r="E23" i="2"/>
  <c r="T23" i="2" s="1"/>
  <c r="A23" i="2"/>
  <c r="P23" i="2" s="1"/>
  <c r="G22" i="2"/>
  <c r="V22" i="2" s="1"/>
  <c r="F22" i="2"/>
  <c r="U22" i="2" s="1"/>
  <c r="E22" i="2"/>
  <c r="T22" i="2" s="1"/>
  <c r="A22" i="2"/>
  <c r="P22" i="2" s="1"/>
  <c r="G21" i="2"/>
  <c r="V21" i="2" s="1"/>
  <c r="F21" i="2"/>
  <c r="U21" i="2" s="1"/>
  <c r="E21" i="2"/>
  <c r="T21" i="2" s="1"/>
  <c r="A21" i="2"/>
  <c r="P21" i="2" s="1"/>
  <c r="G20" i="2"/>
  <c r="V20" i="2" s="1"/>
  <c r="F20" i="2"/>
  <c r="U20" i="2" s="1"/>
  <c r="E20" i="2"/>
  <c r="T20" i="2" s="1"/>
  <c r="A20" i="2"/>
  <c r="P20" i="2" s="1"/>
  <c r="G19" i="2"/>
  <c r="V19" i="2" s="1"/>
  <c r="F19" i="2"/>
  <c r="U19" i="2" s="1"/>
  <c r="E19" i="2"/>
  <c r="T19" i="2" s="1"/>
  <c r="A19" i="2"/>
  <c r="P19" i="2" s="1"/>
  <c r="G18" i="2"/>
  <c r="V18" i="2" s="1"/>
  <c r="F18" i="2"/>
  <c r="U18" i="2" s="1"/>
  <c r="E18" i="2"/>
  <c r="T18" i="2" s="1"/>
  <c r="A18" i="2"/>
  <c r="P18" i="2" s="1"/>
  <c r="G17" i="2"/>
  <c r="V17" i="2" s="1"/>
  <c r="F17" i="2"/>
  <c r="U17" i="2" s="1"/>
  <c r="E17" i="2"/>
  <c r="T17" i="2" s="1"/>
  <c r="A17" i="2"/>
  <c r="P17" i="2" s="1"/>
  <c r="G16" i="2"/>
  <c r="V16" i="2" s="1"/>
  <c r="F16" i="2"/>
  <c r="U16" i="2" s="1"/>
  <c r="E16" i="2"/>
  <c r="T16" i="2" s="1"/>
  <c r="A16" i="2"/>
  <c r="P16" i="2" s="1"/>
  <c r="G15" i="2"/>
  <c r="V15" i="2" s="1"/>
  <c r="F15" i="2"/>
  <c r="U15" i="2" s="1"/>
  <c r="E15" i="2"/>
  <c r="T15" i="2" s="1"/>
  <c r="A15" i="2"/>
  <c r="P15" i="2" s="1"/>
  <c r="G14" i="2"/>
  <c r="V14" i="2" s="1"/>
  <c r="F14" i="2"/>
  <c r="U14" i="2" s="1"/>
  <c r="E14" i="2"/>
  <c r="T14" i="2" s="1"/>
  <c r="A14" i="2"/>
  <c r="P14" i="2" s="1"/>
  <c r="G13" i="2"/>
  <c r="V13" i="2" s="1"/>
  <c r="F13" i="2"/>
  <c r="U13" i="2" s="1"/>
  <c r="E13" i="2"/>
  <c r="T13" i="2" s="1"/>
  <c r="A13" i="2"/>
  <c r="P13" i="2" s="1"/>
  <c r="G12" i="2"/>
  <c r="V12" i="2" s="1"/>
  <c r="F12" i="2"/>
  <c r="U12" i="2" s="1"/>
  <c r="E12" i="2"/>
  <c r="T12" i="2" s="1"/>
  <c r="A12" i="2"/>
  <c r="P12" i="2" s="1"/>
  <c r="G11" i="2"/>
  <c r="V11" i="2" s="1"/>
  <c r="F11" i="2"/>
  <c r="U11" i="2" s="1"/>
  <c r="E11" i="2"/>
  <c r="T11" i="2" s="1"/>
  <c r="A11" i="2"/>
  <c r="P11" i="2" s="1"/>
  <c r="G10" i="2"/>
  <c r="V10" i="2" s="1"/>
  <c r="F10" i="2"/>
  <c r="U10" i="2" s="1"/>
  <c r="E10" i="2"/>
  <c r="T10" i="2" s="1"/>
  <c r="A10" i="2"/>
  <c r="P10" i="2" s="1"/>
  <c r="G9" i="2"/>
  <c r="V9" i="2" s="1"/>
  <c r="F9" i="2"/>
  <c r="U9" i="2" s="1"/>
  <c r="E9" i="2"/>
  <c r="T9" i="2" s="1"/>
  <c r="A9" i="2"/>
  <c r="P9" i="2" s="1"/>
  <c r="G8" i="2"/>
  <c r="V8" i="2" s="1"/>
  <c r="F8" i="2"/>
  <c r="U8" i="2" s="1"/>
  <c r="E8" i="2"/>
  <c r="T8" i="2" s="1"/>
  <c r="A8" i="2"/>
  <c r="P8" i="2" s="1"/>
  <c r="G7" i="2"/>
  <c r="V7" i="2" s="1"/>
  <c r="F7" i="2"/>
  <c r="U7" i="2" s="1"/>
  <c r="E7" i="2"/>
  <c r="T7" i="2" s="1"/>
  <c r="A7" i="2"/>
  <c r="B79" i="2"/>
  <c r="B25" i="2"/>
  <c r="Q25" i="2" s="1"/>
  <c r="P7" i="2" l="1"/>
  <c r="B7" i="2"/>
  <c r="Q7" i="2" s="1"/>
  <c r="B35" i="2"/>
  <c r="C133" i="2"/>
  <c r="B145" i="2"/>
  <c r="B137" i="2"/>
  <c r="B134" i="2"/>
  <c r="B130" i="2"/>
  <c r="B126" i="2"/>
  <c r="B122" i="2"/>
  <c r="B118" i="2"/>
  <c r="B114" i="2"/>
  <c r="B110" i="2"/>
  <c r="B106" i="2"/>
  <c r="B102" i="2"/>
  <c r="B98" i="2"/>
  <c r="B94" i="2"/>
  <c r="B90" i="2"/>
  <c r="B86" i="2"/>
  <c r="B82" i="2"/>
  <c r="B78" i="2"/>
  <c r="B74" i="2"/>
  <c r="B70" i="2"/>
  <c r="Q70" i="2" s="1"/>
  <c r="B66" i="2"/>
  <c r="B146" i="2"/>
  <c r="B138" i="2"/>
  <c r="B147" i="2"/>
  <c r="B139" i="2"/>
  <c r="B133" i="2"/>
  <c r="B129" i="2"/>
  <c r="B125" i="2"/>
  <c r="B121" i="2"/>
  <c r="B117" i="2"/>
  <c r="B113" i="2"/>
  <c r="B109" i="2"/>
  <c r="B105" i="2"/>
  <c r="B101" i="2"/>
  <c r="B97" i="2"/>
  <c r="B93" i="2"/>
  <c r="B89" i="2"/>
  <c r="B85" i="2"/>
  <c r="B81" i="2"/>
  <c r="B77" i="2"/>
  <c r="B73" i="2"/>
  <c r="B71" i="2"/>
  <c r="Q71" i="2" s="1"/>
  <c r="B67" i="2"/>
  <c r="Q67" i="2" s="1"/>
  <c r="B63" i="2"/>
  <c r="Q63" i="2" s="1"/>
  <c r="B148" i="2"/>
  <c r="B140" i="2"/>
  <c r="B149" i="2"/>
  <c r="B141" i="2"/>
  <c r="B132" i="2"/>
  <c r="B128" i="2"/>
  <c r="B124" i="2"/>
  <c r="B120" i="2"/>
  <c r="B116" i="2"/>
  <c r="B112" i="2"/>
  <c r="B108" i="2"/>
  <c r="B104" i="2"/>
  <c r="B100" i="2"/>
  <c r="B96" i="2"/>
  <c r="B92" i="2"/>
  <c r="B88" i="2"/>
  <c r="B84" i="2"/>
  <c r="B80" i="2"/>
  <c r="B76" i="2"/>
  <c r="B72" i="2"/>
  <c r="B68" i="2"/>
  <c r="B64" i="2"/>
  <c r="Q64" i="2" s="1"/>
  <c r="B150" i="2"/>
  <c r="B142" i="2"/>
  <c r="B131" i="2"/>
  <c r="B115" i="2"/>
  <c r="B99" i="2"/>
  <c r="B83" i="2"/>
  <c r="B60" i="2"/>
  <c r="Q60" i="2" s="1"/>
  <c r="B51" i="2"/>
  <c r="Q51" i="2" s="1"/>
  <c r="B43" i="2"/>
  <c r="Q43" i="2" s="1"/>
  <c r="B50" i="2"/>
  <c r="B42" i="2"/>
  <c r="B135" i="2"/>
  <c r="B119" i="2"/>
  <c r="B103" i="2"/>
  <c r="B87" i="2"/>
  <c r="B61" i="2"/>
  <c r="B57" i="2"/>
  <c r="B49" i="2"/>
  <c r="Q49" i="2" s="1"/>
  <c r="B41" i="2"/>
  <c r="Q41" i="2" s="1"/>
  <c r="B36" i="2"/>
  <c r="Q36" i="2" s="1"/>
  <c r="B34" i="2"/>
  <c r="B32" i="2"/>
  <c r="Q32" i="2" s="1"/>
  <c r="B69" i="2"/>
  <c r="B56" i="2"/>
  <c r="B48" i="2"/>
  <c r="B40" i="2"/>
  <c r="B143" i="2"/>
  <c r="B123" i="2"/>
  <c r="B107" i="2"/>
  <c r="B91" i="2"/>
  <c r="B75" i="2"/>
  <c r="B62" i="2"/>
  <c r="Q62" i="2" s="1"/>
  <c r="B58" i="2"/>
  <c r="B55" i="2"/>
  <c r="Q55" i="2" s="1"/>
  <c r="B47" i="2"/>
  <c r="B39" i="2"/>
  <c r="Q39" i="2" s="1"/>
  <c r="B144" i="2"/>
  <c r="B52" i="2"/>
  <c r="B44" i="2"/>
  <c r="B46" i="2"/>
  <c r="B45" i="2"/>
  <c r="B95" i="2"/>
  <c r="B59" i="2"/>
  <c r="B33" i="2"/>
  <c r="Q33" i="2" s="1"/>
  <c r="B111" i="2"/>
  <c r="B30" i="2"/>
  <c r="B28" i="2"/>
  <c r="Q28" i="2" s="1"/>
  <c r="B26" i="2"/>
  <c r="Q26" i="2" s="1"/>
  <c r="B24" i="2"/>
  <c r="Q24" i="2" s="1"/>
  <c r="B22" i="2"/>
  <c r="Q22" i="2" s="1"/>
  <c r="B20" i="2"/>
  <c r="Q20" i="2" s="1"/>
  <c r="B18" i="2"/>
  <c r="Q18" i="2" s="1"/>
  <c r="B16" i="2"/>
  <c r="Q16" i="2" s="1"/>
  <c r="B14" i="2"/>
  <c r="Q14" i="2" s="1"/>
  <c r="B12" i="2"/>
  <c r="Q12" i="2" s="1"/>
  <c r="B10" i="2"/>
  <c r="Q10" i="2" s="1"/>
  <c r="B8" i="2"/>
  <c r="Q8" i="2" s="1"/>
  <c r="B38" i="2"/>
  <c r="B37" i="2"/>
  <c r="B136" i="2"/>
  <c r="B127" i="2"/>
  <c r="B65" i="2"/>
  <c r="Q65" i="2" s="1"/>
  <c r="B54" i="2"/>
  <c r="Q54" i="2" s="1"/>
  <c r="B53" i="2"/>
  <c r="B13" i="2"/>
  <c r="Q13" i="2" s="1"/>
  <c r="B9" i="2"/>
  <c r="Q9" i="2" s="1"/>
  <c r="B17" i="2"/>
  <c r="Q17" i="2" s="1"/>
  <c r="B19" i="2"/>
  <c r="Q19" i="2" s="1"/>
  <c r="B27" i="2"/>
  <c r="B29" i="2"/>
  <c r="C146" i="2"/>
  <c r="C147" i="2"/>
  <c r="C139" i="2"/>
  <c r="C117" i="2"/>
  <c r="C109" i="2"/>
  <c r="C105" i="2"/>
  <c r="C85" i="2"/>
  <c r="C77" i="2"/>
  <c r="C73" i="2"/>
  <c r="C132" i="2"/>
  <c r="C124" i="2"/>
  <c r="C120" i="2"/>
  <c r="C100" i="2"/>
  <c r="C92" i="2"/>
  <c r="C88" i="2"/>
  <c r="C68" i="2"/>
  <c r="R68" i="2" s="1"/>
  <c r="C142" i="2"/>
  <c r="C143" i="2"/>
  <c r="C119" i="2"/>
  <c r="C111" i="2"/>
  <c r="C107" i="2"/>
  <c r="C87" i="2"/>
  <c r="C79" i="2"/>
  <c r="C75" i="2"/>
  <c r="C86" i="2"/>
  <c r="C50" i="2"/>
  <c r="R50" i="2" s="1"/>
  <c r="C42" i="2"/>
  <c r="R42" i="2" s="1"/>
  <c r="C49" i="2"/>
  <c r="R49" i="2" s="1"/>
  <c r="C36" i="2"/>
  <c r="R36" i="2" s="1"/>
  <c r="C122" i="2"/>
  <c r="C48" i="2"/>
  <c r="R48" i="2" s="1"/>
  <c r="C71" i="2"/>
  <c r="R71" i="2" s="1"/>
  <c r="C66" i="2"/>
  <c r="R66" i="2" s="1"/>
  <c r="C39" i="2"/>
  <c r="R39" i="2" s="1"/>
  <c r="C126" i="2"/>
  <c r="C110" i="2"/>
  <c r="C54" i="2"/>
  <c r="R54" i="2" s="1"/>
  <c r="C38" i="2"/>
  <c r="R38" i="2" s="1"/>
  <c r="C137" i="2"/>
  <c r="C59" i="2"/>
  <c r="R59" i="2" s="1"/>
  <c r="C44" i="2"/>
  <c r="R44" i="2" s="1"/>
  <c r="C82" i="2"/>
  <c r="C24" i="2"/>
  <c r="R24" i="2" s="1"/>
  <c r="C20" i="2"/>
  <c r="R20" i="2" s="1"/>
  <c r="C18" i="2"/>
  <c r="R18" i="2" s="1"/>
  <c r="C37" i="2"/>
  <c r="R37" i="2" s="1"/>
  <c r="C98" i="2"/>
  <c r="C53" i="2"/>
  <c r="R53" i="2" s="1"/>
  <c r="B15" i="2"/>
  <c r="Q15" i="2" s="1"/>
  <c r="B21" i="2"/>
  <c r="Q21" i="2" s="1"/>
  <c r="B23" i="2"/>
  <c r="Q23" i="2" s="1"/>
  <c r="B31" i="2"/>
  <c r="C45" i="2"/>
  <c r="R45" i="2" s="1"/>
  <c r="B11" i="2"/>
  <c r="Q11" i="2" s="1"/>
  <c r="C17" i="2"/>
  <c r="R17" i="2" s="1"/>
  <c r="C21" i="2"/>
  <c r="R21" i="2" s="1"/>
  <c r="C23" i="2"/>
  <c r="R23" i="2" s="1"/>
  <c r="C32" i="2"/>
  <c r="R32" i="2" s="1"/>
  <c r="C10" i="2" l="1"/>
  <c r="R10" i="2" s="1"/>
  <c r="C19" i="2"/>
  <c r="R19" i="2" s="1"/>
  <c r="C34" i="2"/>
  <c r="R34" i="2" s="1"/>
  <c r="C22" i="2"/>
  <c r="R22" i="2" s="1"/>
  <c r="C33" i="2"/>
  <c r="R33" i="2" s="1"/>
  <c r="C46" i="2"/>
  <c r="R46" i="2" s="1"/>
  <c r="C136" i="2"/>
  <c r="C40" i="2"/>
  <c r="R40" i="2" s="1"/>
  <c r="C41" i="2"/>
  <c r="R41" i="2" s="1"/>
  <c r="C63" i="2"/>
  <c r="R63" i="2" s="1"/>
  <c r="C83" i="2"/>
  <c r="C115" i="2"/>
  <c r="C150" i="2"/>
  <c r="C96" i="2"/>
  <c r="C128" i="2"/>
  <c r="C81" i="2"/>
  <c r="C113" i="2"/>
  <c r="C138" i="2"/>
  <c r="C31" i="2"/>
  <c r="R31" i="2" s="1"/>
  <c r="C15" i="2"/>
  <c r="R15" i="2" s="1"/>
  <c r="C144" i="2"/>
  <c r="C26" i="2"/>
  <c r="R26" i="2" s="1"/>
  <c r="C130" i="2"/>
  <c r="C65" i="2"/>
  <c r="R65" i="2" s="1"/>
  <c r="C47" i="2"/>
  <c r="R47" i="2" s="1"/>
  <c r="C56" i="2"/>
  <c r="R56" i="2" s="1"/>
  <c r="C57" i="2"/>
  <c r="R57" i="2" s="1"/>
  <c r="C102" i="2"/>
  <c r="C91" i="2"/>
  <c r="C123" i="2"/>
  <c r="C72" i="2"/>
  <c r="C104" i="2"/>
  <c r="C141" i="2"/>
  <c r="C89" i="2"/>
  <c r="C121" i="2"/>
  <c r="C114" i="2"/>
  <c r="C29" i="2"/>
  <c r="R29" i="2" s="1"/>
  <c r="C12" i="2"/>
  <c r="R12" i="2" s="1"/>
  <c r="C28" i="2"/>
  <c r="R28" i="2" s="1"/>
  <c r="C43" i="2"/>
  <c r="R43" i="2" s="1"/>
  <c r="C70" i="2"/>
  <c r="R70" i="2" s="1"/>
  <c r="C55" i="2"/>
  <c r="R55" i="2" s="1"/>
  <c r="C74" i="2"/>
  <c r="C61" i="2"/>
  <c r="R61" i="2" s="1"/>
  <c r="C118" i="2"/>
  <c r="C95" i="2"/>
  <c r="C127" i="2"/>
  <c r="C76" i="2"/>
  <c r="C108" i="2"/>
  <c r="C149" i="2"/>
  <c r="C93" i="2"/>
  <c r="C125" i="2"/>
  <c r="C27" i="2"/>
  <c r="R27" i="2" s="1"/>
  <c r="C9" i="2"/>
  <c r="R9" i="2" s="1"/>
  <c r="C13" i="2"/>
  <c r="R13" i="2" s="1"/>
  <c r="C14" i="2"/>
  <c r="R14" i="2" s="1"/>
  <c r="C30" i="2"/>
  <c r="R30" i="2" s="1"/>
  <c r="C51" i="2"/>
  <c r="R51" i="2" s="1"/>
  <c r="C78" i="2"/>
  <c r="C58" i="2"/>
  <c r="R58" i="2" s="1"/>
  <c r="C90" i="2"/>
  <c r="C67" i="2"/>
  <c r="R67" i="2" s="1"/>
  <c r="C134" i="2"/>
  <c r="C99" i="2"/>
  <c r="C131" i="2"/>
  <c r="C80" i="2"/>
  <c r="C112" i="2"/>
  <c r="C140" i="2"/>
  <c r="C97" i="2"/>
  <c r="C129" i="2"/>
  <c r="C25" i="2"/>
  <c r="R25" i="2" s="1"/>
  <c r="C52" i="2"/>
  <c r="R52" i="2" s="1"/>
  <c r="C16" i="2"/>
  <c r="R16" i="2" s="1"/>
  <c r="C64" i="2"/>
  <c r="R64" i="2" s="1"/>
  <c r="C60" i="2"/>
  <c r="R60" i="2" s="1"/>
  <c r="C94" i="2"/>
  <c r="C62" i="2"/>
  <c r="R62" i="2" s="1"/>
  <c r="C106" i="2"/>
  <c r="C145" i="2"/>
  <c r="C69" i="2"/>
  <c r="R69" i="2" s="1"/>
  <c r="C103" i="2"/>
  <c r="C135" i="2"/>
  <c r="C84" i="2"/>
  <c r="C116" i="2"/>
  <c r="C148" i="2"/>
  <c r="C101" i="2"/>
  <c r="Q50" i="2"/>
  <c r="Q48" i="2"/>
  <c r="Q56" i="2"/>
  <c r="Q44" i="2"/>
  <c r="Q69" i="2"/>
  <c r="Q68" i="2"/>
  <c r="C7" i="2"/>
  <c r="D121" i="2"/>
  <c r="C8" i="2"/>
  <c r="R8" i="2" s="1"/>
  <c r="C11" i="2"/>
  <c r="Q30" i="2"/>
  <c r="Q52" i="2"/>
  <c r="C35" i="2"/>
  <c r="Q38" i="2"/>
  <c r="Q40" i="2"/>
  <c r="Q53" i="2"/>
  <c r="Q61" i="2"/>
  <c r="Q34" i="2"/>
  <c r="Q46" i="2"/>
  <c r="D129" i="2"/>
  <c r="Q29" i="2"/>
  <c r="Q35" i="2"/>
  <c r="Q45" i="2"/>
  <c r="Q58" i="2"/>
  <c r="Q57" i="2"/>
  <c r="Q31" i="2"/>
  <c r="Q27" i="2"/>
  <c r="Q37" i="2"/>
  <c r="Q59" i="2"/>
  <c r="Q47" i="2"/>
  <c r="Q42" i="2"/>
  <c r="Q66" i="2"/>
  <c r="J129" i="2" l="1"/>
  <c r="D29" i="2"/>
  <c r="K29" i="2" s="1"/>
  <c r="N29" i="2" s="1"/>
  <c r="D35" i="2"/>
  <c r="S35" i="2" s="1"/>
  <c r="D57" i="2"/>
  <c r="S57" i="2" s="1"/>
  <c r="D88" i="2"/>
  <c r="K88" i="2" s="1"/>
  <c r="D8" i="2"/>
  <c r="S8" i="2" s="1"/>
  <c r="D54" i="2"/>
  <c r="S54" i="2" s="1"/>
  <c r="D75" i="2"/>
  <c r="K75" i="2" s="1"/>
  <c r="D116" i="2"/>
  <c r="J116" i="2" s="1"/>
  <c r="D10" i="2"/>
  <c r="S10" i="2" s="1"/>
  <c r="D70" i="2"/>
  <c r="S70" i="2" s="1"/>
  <c r="D79" i="2"/>
  <c r="J79" i="2" s="1"/>
  <c r="D120" i="2"/>
  <c r="J120" i="2" s="1"/>
  <c r="D24" i="2"/>
  <c r="I24" i="2" s="1"/>
  <c r="L24" i="2" s="1"/>
  <c r="D47" i="2"/>
  <c r="J47" i="2" s="1"/>
  <c r="M47" i="2" s="1"/>
  <c r="D107" i="2"/>
  <c r="J107" i="2" s="1"/>
  <c r="D148" i="2"/>
  <c r="D26" i="2"/>
  <c r="S26" i="2" s="1"/>
  <c r="D55" i="2"/>
  <c r="K55" i="2" s="1"/>
  <c r="N55" i="2" s="1"/>
  <c r="D111" i="2"/>
  <c r="I111" i="2" s="1"/>
  <c r="D67" i="2"/>
  <c r="K67" i="2" s="1"/>
  <c r="D11" i="2"/>
  <c r="S11" i="2" s="1"/>
  <c r="D137" i="2"/>
  <c r="D74" i="2"/>
  <c r="I74" i="2" s="1"/>
  <c r="D143" i="2"/>
  <c r="D93" i="2"/>
  <c r="K93" i="2" s="1"/>
  <c r="D13" i="2"/>
  <c r="S13" i="2" s="1"/>
  <c r="D42" i="2"/>
  <c r="I42" i="2" s="1"/>
  <c r="L42" i="2" s="1"/>
  <c r="D90" i="2"/>
  <c r="I90" i="2" s="1"/>
  <c r="D142" i="2"/>
  <c r="D97" i="2"/>
  <c r="J97" i="2" s="1"/>
  <c r="D27" i="2"/>
  <c r="K27" i="2" s="1"/>
  <c r="N27" i="2" s="1"/>
  <c r="D33" i="2"/>
  <c r="K33" i="2" s="1"/>
  <c r="N33" i="2" s="1"/>
  <c r="D49" i="2"/>
  <c r="I49" i="2" s="1"/>
  <c r="L49" i="2" s="1"/>
  <c r="D84" i="2"/>
  <c r="I84" i="2" s="1"/>
  <c r="D125" i="2"/>
  <c r="K125" i="2" s="1"/>
  <c r="I121" i="2"/>
  <c r="K121" i="2"/>
  <c r="J121" i="2"/>
  <c r="I129" i="2"/>
  <c r="D12" i="2"/>
  <c r="D115" i="2"/>
  <c r="R7" i="2"/>
  <c r="D15" i="2"/>
  <c r="D37" i="2"/>
  <c r="D106" i="2"/>
  <c r="D150" i="2"/>
  <c r="D101" i="2"/>
  <c r="K129" i="2"/>
  <c r="D17" i="2"/>
  <c r="D32" i="2"/>
  <c r="D14" i="2"/>
  <c r="D30" i="2"/>
  <c r="D63" i="2"/>
  <c r="D45" i="2"/>
  <c r="D94" i="2"/>
  <c r="D62" i="2"/>
  <c r="D122" i="2"/>
  <c r="D145" i="2"/>
  <c r="D87" i="2"/>
  <c r="D119" i="2"/>
  <c r="D64" i="2"/>
  <c r="D96" i="2"/>
  <c r="D128" i="2"/>
  <c r="D73" i="2"/>
  <c r="D105" i="2"/>
  <c r="D139" i="2"/>
  <c r="R35" i="2"/>
  <c r="D31" i="2"/>
  <c r="D124" i="2"/>
  <c r="D19" i="2"/>
  <c r="D114" i="2"/>
  <c r="D16" i="2"/>
  <c r="D60" i="2"/>
  <c r="D86" i="2"/>
  <c r="D53" i="2"/>
  <c r="D110" i="2"/>
  <c r="D66" i="2"/>
  <c r="D138" i="2"/>
  <c r="D136" i="2"/>
  <c r="D91" i="2"/>
  <c r="D123" i="2"/>
  <c r="D68" i="2"/>
  <c r="D100" i="2"/>
  <c r="D132" i="2"/>
  <c r="D77" i="2"/>
  <c r="D109" i="2"/>
  <c r="D147" i="2"/>
  <c r="D58" i="2"/>
  <c r="D92" i="2"/>
  <c r="D133" i="2"/>
  <c r="D7" i="2"/>
  <c r="S7" i="2" s="1"/>
  <c r="D21" i="2"/>
  <c r="D51" i="2"/>
  <c r="D18" i="2"/>
  <c r="D82" i="2"/>
  <c r="D102" i="2"/>
  <c r="D59" i="2"/>
  <c r="D126" i="2"/>
  <c r="D40" i="2"/>
  <c r="D34" i="2"/>
  <c r="D144" i="2"/>
  <c r="D95" i="2"/>
  <c r="D127" i="2"/>
  <c r="D72" i="2"/>
  <c r="D104" i="2"/>
  <c r="D141" i="2"/>
  <c r="D81" i="2"/>
  <c r="D113" i="2"/>
  <c r="D28" i="2"/>
  <c r="D61" i="2"/>
  <c r="D130" i="2"/>
  <c r="D23" i="2"/>
  <c r="D52" i="2"/>
  <c r="D20" i="2"/>
  <c r="D43" i="2"/>
  <c r="D118" i="2"/>
  <c r="D38" i="2"/>
  <c r="D146" i="2"/>
  <c r="D48" i="2"/>
  <c r="D36" i="2"/>
  <c r="D65" i="2"/>
  <c r="D99" i="2"/>
  <c r="D131" i="2"/>
  <c r="D76" i="2"/>
  <c r="D108" i="2"/>
  <c r="D149" i="2"/>
  <c r="D85" i="2"/>
  <c r="D117" i="2"/>
  <c r="R11" i="2"/>
  <c r="D50" i="2"/>
  <c r="D78" i="2"/>
  <c r="D83" i="2"/>
  <c r="D71" i="2"/>
  <c r="D9" i="2"/>
  <c r="D25" i="2"/>
  <c r="D98" i="2"/>
  <c r="D22" i="2"/>
  <c r="D44" i="2"/>
  <c r="D134" i="2"/>
  <c r="D46" i="2"/>
  <c r="D39" i="2"/>
  <c r="D56" i="2"/>
  <c r="D41" i="2"/>
  <c r="D69" i="2"/>
  <c r="D103" i="2"/>
  <c r="D135" i="2"/>
  <c r="D80" i="2"/>
  <c r="D112" i="2"/>
  <c r="D140" i="2"/>
  <c r="D89" i="2"/>
  <c r="I7" i="2" l="1"/>
  <c r="I29" i="2"/>
  <c r="L29" i="2" s="1"/>
  <c r="J57" i="2"/>
  <c r="I35" i="2"/>
  <c r="L35" i="2" s="1"/>
  <c r="S55" i="2"/>
  <c r="I57" i="2"/>
  <c r="J13" i="2"/>
  <c r="M13" i="2" s="1"/>
  <c r="J35" i="2"/>
  <c r="M35" i="2" s="1"/>
  <c r="I13" i="2"/>
  <c r="L13" i="2" s="1"/>
  <c r="J55" i="2"/>
  <c r="M55" i="2" s="1"/>
  <c r="K70" i="2"/>
  <c r="J10" i="2"/>
  <c r="M10" i="2" s="1"/>
  <c r="J70" i="2"/>
  <c r="K35" i="2"/>
  <c r="N35" i="2" s="1"/>
  <c r="K84" i="2"/>
  <c r="I55" i="2"/>
  <c r="L55" i="2" s="1"/>
  <c r="I70" i="2"/>
  <c r="J84" i="2"/>
  <c r="K13" i="2"/>
  <c r="N13" i="2" s="1"/>
  <c r="K24" i="2"/>
  <c r="N24" i="2" s="1"/>
  <c r="J29" i="2"/>
  <c r="M29" i="2" s="1"/>
  <c r="J93" i="2"/>
  <c r="I10" i="2"/>
  <c r="L10" i="2" s="1"/>
  <c r="K57" i="2"/>
  <c r="K90" i="2"/>
  <c r="S67" i="2"/>
  <c r="J33" i="2"/>
  <c r="M33" i="2" s="1"/>
  <c r="I120" i="2"/>
  <c r="J90" i="2"/>
  <c r="K120" i="2"/>
  <c r="J11" i="2"/>
  <c r="M11" i="2" s="1"/>
  <c r="I8" i="2"/>
  <c r="L8" i="2" s="1"/>
  <c r="I67" i="2"/>
  <c r="J88" i="2"/>
  <c r="I26" i="2"/>
  <c r="L26" i="2" s="1"/>
  <c r="K116" i="2"/>
  <c r="J67" i="2"/>
  <c r="J42" i="2"/>
  <c r="M42" i="2" s="1"/>
  <c r="S49" i="2"/>
  <c r="I116" i="2"/>
  <c r="I33" i="2"/>
  <c r="L33" i="2" s="1"/>
  <c r="S33" i="2"/>
  <c r="K74" i="2"/>
  <c r="J8" i="2"/>
  <c r="M8" i="2" s="1"/>
  <c r="I93" i="2"/>
  <c r="K49" i="2"/>
  <c r="N49" i="2" s="1"/>
  <c r="K10" i="2"/>
  <c r="N10" i="2" s="1"/>
  <c r="I27" i="2"/>
  <c r="L27" i="2" s="1"/>
  <c r="J27" i="2"/>
  <c r="M27" i="2" s="1"/>
  <c r="K11" i="2"/>
  <c r="N11" i="2" s="1"/>
  <c r="S27" i="2"/>
  <c r="K8" i="2"/>
  <c r="N8" i="2" s="1"/>
  <c r="S29" i="2"/>
  <c r="J74" i="2"/>
  <c r="K26" i="2"/>
  <c r="N26" i="2" s="1"/>
  <c r="J24" i="2"/>
  <c r="M24" i="2" s="1"/>
  <c r="I107" i="2"/>
  <c r="J26" i="2"/>
  <c r="M26" i="2" s="1"/>
  <c r="K107" i="2"/>
  <c r="I75" i="2"/>
  <c r="J75" i="2"/>
  <c r="I11" i="2"/>
  <c r="L11" i="2" s="1"/>
  <c r="S24" i="2"/>
  <c r="J49" i="2"/>
  <c r="M49" i="2" s="1"/>
  <c r="I54" i="2"/>
  <c r="L54" i="2" s="1"/>
  <c r="I88" i="2"/>
  <c r="K54" i="2"/>
  <c r="N54" i="2" s="1"/>
  <c r="J54" i="2"/>
  <c r="M54" i="2" s="1"/>
  <c r="K97" i="2"/>
  <c r="I97" i="2"/>
  <c r="K47" i="2"/>
  <c r="N47" i="2" s="1"/>
  <c r="I47" i="2"/>
  <c r="L47" i="2" s="1"/>
  <c r="S47" i="2"/>
  <c r="S42" i="2"/>
  <c r="K111" i="2"/>
  <c r="I125" i="2"/>
  <c r="J125" i="2"/>
  <c r="K42" i="2"/>
  <c r="N42" i="2" s="1"/>
  <c r="J111" i="2"/>
  <c r="K79" i="2"/>
  <c r="I79" i="2"/>
  <c r="S31" i="2"/>
  <c r="J31" i="2"/>
  <c r="M31" i="2" s="1"/>
  <c r="K31" i="2"/>
  <c r="N31" i="2" s="1"/>
  <c r="I31" i="2"/>
  <c r="L31" i="2" s="1"/>
  <c r="S15" i="2"/>
  <c r="J15" i="2"/>
  <c r="M15" i="2" s="1"/>
  <c r="K15" i="2"/>
  <c r="N15" i="2" s="1"/>
  <c r="I15" i="2"/>
  <c r="L15" i="2" s="1"/>
  <c r="S69" i="2"/>
  <c r="I69" i="2"/>
  <c r="K69" i="2"/>
  <c r="J69" i="2"/>
  <c r="J98" i="2"/>
  <c r="I98" i="2"/>
  <c r="K98" i="2"/>
  <c r="S50" i="2"/>
  <c r="I50" i="2"/>
  <c r="L50" i="2" s="1"/>
  <c r="J50" i="2"/>
  <c r="M50" i="2" s="1"/>
  <c r="K50" i="2"/>
  <c r="N50" i="2" s="1"/>
  <c r="I99" i="2"/>
  <c r="K99" i="2"/>
  <c r="J99" i="2"/>
  <c r="S20" i="2"/>
  <c r="I20" i="2"/>
  <c r="L20" i="2" s="1"/>
  <c r="J20" i="2"/>
  <c r="M20" i="2" s="1"/>
  <c r="K20" i="2"/>
  <c r="N20" i="2" s="1"/>
  <c r="S61" i="2"/>
  <c r="J61" i="2"/>
  <c r="I61" i="2"/>
  <c r="K61" i="2"/>
  <c r="K72" i="2"/>
  <c r="J72" i="2"/>
  <c r="I72" i="2"/>
  <c r="K102" i="2"/>
  <c r="J102" i="2"/>
  <c r="I102" i="2"/>
  <c r="I109" i="2"/>
  <c r="J109" i="2"/>
  <c r="K109" i="2"/>
  <c r="S19" i="2"/>
  <c r="K19" i="2"/>
  <c r="N19" i="2" s="1"/>
  <c r="I19" i="2"/>
  <c r="L19" i="2" s="1"/>
  <c r="J19" i="2"/>
  <c r="M19" i="2" s="1"/>
  <c r="K96" i="2"/>
  <c r="I96" i="2"/>
  <c r="J96" i="2"/>
  <c r="S45" i="2"/>
  <c r="K45" i="2"/>
  <c r="N45" i="2" s="1"/>
  <c r="I45" i="2"/>
  <c r="L45" i="2" s="1"/>
  <c r="J45" i="2"/>
  <c r="M45" i="2" s="1"/>
  <c r="S43" i="2"/>
  <c r="J43" i="2"/>
  <c r="M43" i="2" s="1"/>
  <c r="I43" i="2"/>
  <c r="L43" i="2" s="1"/>
  <c r="K43" i="2"/>
  <c r="N43" i="2" s="1"/>
  <c r="J94" i="2"/>
  <c r="I94" i="2"/>
  <c r="K94" i="2"/>
  <c r="S41" i="2"/>
  <c r="J41" i="2"/>
  <c r="M41" i="2" s="1"/>
  <c r="I41" i="2"/>
  <c r="L41" i="2" s="1"/>
  <c r="K41" i="2"/>
  <c r="N41" i="2" s="1"/>
  <c r="S25" i="2"/>
  <c r="I25" i="2"/>
  <c r="L25" i="2" s="1"/>
  <c r="J25" i="2"/>
  <c r="M25" i="2" s="1"/>
  <c r="K25" i="2"/>
  <c r="N25" i="2" s="1"/>
  <c r="S65" i="2"/>
  <c r="K65" i="2"/>
  <c r="I65" i="2"/>
  <c r="J65" i="2"/>
  <c r="S52" i="2"/>
  <c r="J52" i="2"/>
  <c r="M52" i="2" s="1"/>
  <c r="I52" i="2"/>
  <c r="L52" i="2" s="1"/>
  <c r="K52" i="2"/>
  <c r="N52" i="2" s="1"/>
  <c r="S28" i="2"/>
  <c r="J28" i="2"/>
  <c r="M28" i="2" s="1"/>
  <c r="K28" i="2"/>
  <c r="N28" i="2" s="1"/>
  <c r="I28" i="2"/>
  <c r="L28" i="2" s="1"/>
  <c r="J127" i="2"/>
  <c r="I127" i="2"/>
  <c r="K127" i="2"/>
  <c r="I82" i="2"/>
  <c r="K82" i="2"/>
  <c r="J82" i="2"/>
  <c r="I77" i="2"/>
  <c r="J77" i="2"/>
  <c r="K77" i="2"/>
  <c r="S66" i="2"/>
  <c r="I66" i="2"/>
  <c r="K66" i="2"/>
  <c r="J66" i="2"/>
  <c r="S64" i="2"/>
  <c r="I64" i="2"/>
  <c r="J64" i="2"/>
  <c r="K64" i="2"/>
  <c r="S63" i="2"/>
  <c r="K63" i="2"/>
  <c r="I63" i="2"/>
  <c r="J63" i="2"/>
  <c r="K7" i="2"/>
  <c r="N7" i="2" s="1"/>
  <c r="S22" i="2"/>
  <c r="K22" i="2"/>
  <c r="N22" i="2" s="1"/>
  <c r="I22" i="2"/>
  <c r="L22" i="2" s="1"/>
  <c r="J22" i="2"/>
  <c r="M22" i="2" s="1"/>
  <c r="I131" i="2"/>
  <c r="J131" i="2"/>
  <c r="K131" i="2"/>
  <c r="I89" i="2"/>
  <c r="J89" i="2"/>
  <c r="K89" i="2"/>
  <c r="S56" i="2"/>
  <c r="K56" i="2"/>
  <c r="N56" i="2" s="1"/>
  <c r="J56" i="2"/>
  <c r="M56" i="2" s="1"/>
  <c r="I56" i="2"/>
  <c r="L56" i="2" s="1"/>
  <c r="S9" i="2"/>
  <c r="I9" i="2"/>
  <c r="L9" i="2" s="1"/>
  <c r="K9" i="2"/>
  <c r="N9" i="2" s="1"/>
  <c r="J9" i="2"/>
  <c r="M9" i="2" s="1"/>
  <c r="K117" i="2"/>
  <c r="J117" i="2"/>
  <c r="I117" i="2"/>
  <c r="S36" i="2"/>
  <c r="K36" i="2"/>
  <c r="N36" i="2" s="1"/>
  <c r="J36" i="2"/>
  <c r="M36" i="2" s="1"/>
  <c r="I36" i="2"/>
  <c r="L36" i="2" s="1"/>
  <c r="S23" i="2"/>
  <c r="K23" i="2"/>
  <c r="N23" i="2" s="1"/>
  <c r="I23" i="2"/>
  <c r="L23" i="2" s="1"/>
  <c r="J23" i="2"/>
  <c r="M23" i="2" s="1"/>
  <c r="J95" i="2"/>
  <c r="I95" i="2"/>
  <c r="K95" i="2"/>
  <c r="S18" i="2"/>
  <c r="K18" i="2"/>
  <c r="N18" i="2" s="1"/>
  <c r="J18" i="2"/>
  <c r="M18" i="2" s="1"/>
  <c r="I18" i="2"/>
  <c r="L18" i="2" s="1"/>
  <c r="J133" i="2"/>
  <c r="K133" i="2"/>
  <c r="I133" i="2"/>
  <c r="J132" i="2"/>
  <c r="K132" i="2"/>
  <c r="I132" i="2"/>
  <c r="J110" i="2"/>
  <c r="I110" i="2"/>
  <c r="K110" i="2"/>
  <c r="I119" i="2"/>
  <c r="K119" i="2"/>
  <c r="J119" i="2"/>
  <c r="S30" i="2"/>
  <c r="K30" i="2"/>
  <c r="N30" i="2" s="1"/>
  <c r="J30" i="2"/>
  <c r="M30" i="2" s="1"/>
  <c r="I30" i="2"/>
  <c r="L30" i="2" s="1"/>
  <c r="L7" i="2"/>
  <c r="S59" i="2"/>
  <c r="J59" i="2"/>
  <c r="K59" i="2"/>
  <c r="I59" i="2"/>
  <c r="I128" i="2"/>
  <c r="J128" i="2"/>
  <c r="K128" i="2"/>
  <c r="S39" i="2"/>
  <c r="K39" i="2"/>
  <c r="N39" i="2" s="1"/>
  <c r="J39" i="2"/>
  <c r="M39" i="2" s="1"/>
  <c r="I39" i="2"/>
  <c r="L39" i="2" s="1"/>
  <c r="J85" i="2"/>
  <c r="K85" i="2"/>
  <c r="I85" i="2"/>
  <c r="S48" i="2"/>
  <c r="I48" i="2"/>
  <c r="L48" i="2" s="1"/>
  <c r="J48" i="2"/>
  <c r="M48" i="2" s="1"/>
  <c r="K48" i="2"/>
  <c r="N48" i="2" s="1"/>
  <c r="I130" i="2"/>
  <c r="K130" i="2"/>
  <c r="J130" i="2"/>
  <c r="S51" i="2"/>
  <c r="J51" i="2"/>
  <c r="M51" i="2" s="1"/>
  <c r="I51" i="2"/>
  <c r="L51" i="2" s="1"/>
  <c r="K51" i="2"/>
  <c r="N51" i="2" s="1"/>
  <c r="J92" i="2"/>
  <c r="I92" i="2"/>
  <c r="K92" i="2"/>
  <c r="J100" i="2"/>
  <c r="I100" i="2"/>
  <c r="K100" i="2"/>
  <c r="S53" i="2"/>
  <c r="J53" i="2"/>
  <c r="M53" i="2" s="1"/>
  <c r="I53" i="2"/>
  <c r="L53" i="2" s="1"/>
  <c r="K53" i="2"/>
  <c r="N53" i="2" s="1"/>
  <c r="K87" i="2"/>
  <c r="I87" i="2"/>
  <c r="J87" i="2"/>
  <c r="S14" i="2"/>
  <c r="K14" i="2"/>
  <c r="N14" i="2" s="1"/>
  <c r="J14" i="2"/>
  <c r="M14" i="2" s="1"/>
  <c r="I14" i="2"/>
  <c r="L14" i="2" s="1"/>
  <c r="J101" i="2"/>
  <c r="I101" i="2"/>
  <c r="K101" i="2"/>
  <c r="J7" i="2"/>
  <c r="M7" i="2" s="1"/>
  <c r="I115" i="2"/>
  <c r="K115" i="2"/>
  <c r="J115" i="2"/>
  <c r="K112" i="2"/>
  <c r="J112" i="2"/>
  <c r="I112" i="2"/>
  <c r="S46" i="2"/>
  <c r="I46" i="2"/>
  <c r="L46" i="2" s="1"/>
  <c r="K46" i="2"/>
  <c r="N46" i="2" s="1"/>
  <c r="J46" i="2"/>
  <c r="M46" i="2" s="1"/>
  <c r="I113" i="2"/>
  <c r="J113" i="2"/>
  <c r="K113" i="2"/>
  <c r="S34" i="2"/>
  <c r="K34" i="2"/>
  <c r="N34" i="2" s="1"/>
  <c r="I34" i="2"/>
  <c r="L34" i="2" s="1"/>
  <c r="J34" i="2"/>
  <c r="M34" i="2" s="1"/>
  <c r="S21" i="2"/>
  <c r="K21" i="2"/>
  <c r="N21" i="2" s="1"/>
  <c r="I21" i="2"/>
  <c r="L21" i="2" s="1"/>
  <c r="J21" i="2"/>
  <c r="M21" i="2" s="1"/>
  <c r="S58" i="2"/>
  <c r="J58" i="2"/>
  <c r="I58" i="2"/>
  <c r="K58" i="2"/>
  <c r="S68" i="2"/>
  <c r="J68" i="2"/>
  <c r="I68" i="2"/>
  <c r="K68" i="2"/>
  <c r="I86" i="2"/>
  <c r="K86" i="2"/>
  <c r="J86" i="2"/>
  <c r="S32" i="2"/>
  <c r="J32" i="2"/>
  <c r="M32" i="2" s="1"/>
  <c r="K32" i="2"/>
  <c r="N32" i="2" s="1"/>
  <c r="I32" i="2"/>
  <c r="L32" i="2" s="1"/>
  <c r="S12" i="2"/>
  <c r="K12" i="2"/>
  <c r="N12" i="2" s="1"/>
  <c r="I12" i="2"/>
  <c r="L12" i="2" s="1"/>
  <c r="J12" i="2"/>
  <c r="M12" i="2" s="1"/>
  <c r="K78" i="2"/>
  <c r="J78" i="2"/>
  <c r="I78" i="2"/>
  <c r="K104" i="2"/>
  <c r="I104" i="2"/>
  <c r="J104" i="2"/>
  <c r="J114" i="2"/>
  <c r="I114" i="2"/>
  <c r="K114" i="2"/>
  <c r="K80" i="2"/>
  <c r="J80" i="2"/>
  <c r="I80" i="2"/>
  <c r="K134" i="2"/>
  <c r="I134" i="2"/>
  <c r="J134" i="2"/>
  <c r="S71" i="2"/>
  <c r="J71" i="2"/>
  <c r="I71" i="2"/>
  <c r="K71" i="2"/>
  <c r="J108" i="2"/>
  <c r="K108" i="2"/>
  <c r="I108" i="2"/>
  <c r="S38" i="2"/>
  <c r="I38" i="2"/>
  <c r="L38" i="2" s="1"/>
  <c r="K38" i="2"/>
  <c r="N38" i="2" s="1"/>
  <c r="J38" i="2"/>
  <c r="M38" i="2" s="1"/>
  <c r="J81" i="2"/>
  <c r="I81" i="2"/>
  <c r="K81" i="2"/>
  <c r="S40" i="2"/>
  <c r="K40" i="2"/>
  <c r="N40" i="2" s="1"/>
  <c r="I40" i="2"/>
  <c r="L40" i="2" s="1"/>
  <c r="J40" i="2"/>
  <c r="M40" i="2" s="1"/>
  <c r="J123" i="2"/>
  <c r="K123" i="2"/>
  <c r="I123" i="2"/>
  <c r="S60" i="2"/>
  <c r="K60" i="2"/>
  <c r="J60" i="2"/>
  <c r="I60" i="2"/>
  <c r="K105" i="2"/>
  <c r="I105" i="2"/>
  <c r="J105" i="2"/>
  <c r="J122" i="2"/>
  <c r="K122" i="2"/>
  <c r="I122" i="2"/>
  <c r="S17" i="2"/>
  <c r="K17" i="2"/>
  <c r="N17" i="2" s="1"/>
  <c r="J17" i="2"/>
  <c r="M17" i="2" s="1"/>
  <c r="I17" i="2"/>
  <c r="L17" i="2" s="1"/>
  <c r="I106" i="2"/>
  <c r="K106" i="2"/>
  <c r="J106" i="2"/>
  <c r="I103" i="2"/>
  <c r="K103" i="2"/>
  <c r="J103" i="2"/>
  <c r="S44" i="2"/>
  <c r="J44" i="2"/>
  <c r="M44" i="2" s="1"/>
  <c r="I44" i="2"/>
  <c r="L44" i="2" s="1"/>
  <c r="K44" i="2"/>
  <c r="N44" i="2" s="1"/>
  <c r="I83" i="2"/>
  <c r="K83" i="2"/>
  <c r="J83" i="2"/>
  <c r="J76" i="2"/>
  <c r="K76" i="2"/>
  <c r="I76" i="2"/>
  <c r="K118" i="2"/>
  <c r="J118" i="2"/>
  <c r="I118" i="2"/>
  <c r="J126" i="2"/>
  <c r="K126" i="2"/>
  <c r="I126" i="2"/>
  <c r="K91" i="2"/>
  <c r="I91" i="2"/>
  <c r="J91" i="2"/>
  <c r="S16" i="2"/>
  <c r="J16" i="2"/>
  <c r="M16" i="2" s="1"/>
  <c r="I16" i="2"/>
  <c r="L16" i="2" s="1"/>
  <c r="K16" i="2"/>
  <c r="N16" i="2" s="1"/>
  <c r="J124" i="2"/>
  <c r="K124" i="2"/>
  <c r="I124" i="2"/>
  <c r="K73" i="2"/>
  <c r="J73" i="2"/>
  <c r="I73" i="2"/>
  <c r="S62" i="2"/>
  <c r="K62" i="2"/>
  <c r="I62" i="2"/>
  <c r="J62" i="2"/>
  <c r="S37" i="2"/>
  <c r="I37" i="2"/>
  <c r="L37" i="2" s="1"/>
  <c r="K37" i="2"/>
  <c r="N37" i="2" s="1"/>
  <c r="J37" i="2"/>
  <c r="M37" i="2" s="1"/>
  <c r="K27" i="4"/>
  <c r="BJ27" i="4" s="1"/>
  <c r="U27" i="4" s="1"/>
  <c r="V27" i="4" l="1"/>
  <c r="W27" i="4" s="1"/>
  <c r="X27" i="4" s="1"/>
  <c r="L27" i="4" s="1"/>
  <c r="K41" i="4"/>
  <c r="BJ41" i="4" s="1"/>
  <c r="U41" i="4" s="1"/>
  <c r="V41" i="4"/>
  <c r="W41" i="4" s="1"/>
  <c r="X41" i="4" s="1"/>
  <c r="L41" i="4" s="1"/>
  <c r="K40" i="4" l="1"/>
  <c r="BJ40" i="4" s="1"/>
  <c r="U40" i="4" s="1"/>
  <c r="K43" i="4"/>
  <c r="BJ43" i="4" s="1"/>
  <c r="U43" i="4" s="1"/>
  <c r="K44" i="4"/>
  <c r="BJ44" i="4" s="1"/>
  <c r="U44" i="4" s="1"/>
  <c r="K46" i="4"/>
  <c r="BJ46" i="4" s="1"/>
  <c r="U46" i="4" s="1"/>
  <c r="K47" i="4"/>
  <c r="K45" i="4"/>
  <c r="K42" i="4"/>
  <c r="V40" i="4" l="1"/>
  <c r="W40" i="4" s="1"/>
  <c r="X40" i="4" s="1"/>
  <c r="L40" i="4" s="1"/>
  <c r="V44" i="4"/>
  <c r="W44" i="4" s="1"/>
  <c r="X44" i="4" s="1"/>
  <c r="L44" i="4" s="1"/>
  <c r="BJ47" i="4"/>
  <c r="U47" i="4" s="1"/>
  <c r="BJ45" i="4"/>
  <c r="U45" i="4" s="1"/>
  <c r="BJ42" i="4"/>
  <c r="U42" i="4" s="1"/>
  <c r="V46" i="4"/>
  <c r="W46" i="4" s="1"/>
  <c r="X46" i="4" s="1"/>
  <c r="L46" i="4" s="1"/>
  <c r="V43" i="4"/>
  <c r="W43" i="4" s="1"/>
  <c r="X43" i="4" s="1"/>
  <c r="L43" i="4" s="1"/>
  <c r="K39" i="4"/>
  <c r="BJ39" i="4" s="1"/>
  <c r="U39" i="4" s="1"/>
  <c r="V42" i="4" l="1"/>
  <c r="W42" i="4" s="1"/>
  <c r="X42" i="4" s="1"/>
  <c r="L42" i="4" s="1"/>
  <c r="V45" i="4"/>
  <c r="W45" i="4" s="1"/>
  <c r="X45" i="4" s="1"/>
  <c r="L45" i="4" s="1"/>
  <c r="V47" i="4"/>
  <c r="W47" i="4" s="1"/>
  <c r="X47" i="4" s="1"/>
  <c r="L47" i="4" s="1"/>
  <c r="V39" i="4"/>
  <c r="W39" i="4" s="1"/>
  <c r="X39" i="4" s="1"/>
  <c r="L3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<sst xmlns="http://schemas.openxmlformats.org/spreadsheetml/2006/main" count="358" uniqueCount="341">
  <si>
    <t>МП</t>
  </si>
  <si>
    <t xml:space="preserve">Вид испытаний: измерения ионизирующих излучений на открытой территории </t>
  </si>
  <si>
    <t xml:space="preserve">1. </t>
  </si>
  <si>
    <t xml:space="preserve">2. </t>
  </si>
  <si>
    <t>3.</t>
  </si>
  <si>
    <t>4.</t>
  </si>
  <si>
    <t>5.</t>
  </si>
  <si>
    <t>6.</t>
  </si>
  <si>
    <t>7.</t>
  </si>
  <si>
    <t>8.</t>
  </si>
  <si>
    <t>9.</t>
  </si>
  <si>
    <t xml:space="preserve">11. </t>
  </si>
  <si>
    <t>Сведения о средствах измерения:</t>
  </si>
  <si>
    <t>Измеряемый показатель</t>
  </si>
  <si>
    <t>Наименование, тип средства Измерения</t>
  </si>
  <si>
    <t>Заводской номер</t>
  </si>
  <si>
    <t>Погрешность средства измерения</t>
  </si>
  <si>
    <t>Сведения о поверке (№ свидетельства, срок действия)</t>
  </si>
  <si>
    <t>Длительность интервала времени</t>
  </si>
  <si>
    <t>Секундомеры электронные, Интеграл С-01</t>
  </si>
  <si>
    <t>Основная абсолютная погрешность, при температуре 25 ± 5 (˚С):
±(9,6·10-6 ·Тx+0,01) с
Дополнительная абсолютная погрешность при отклонении температуры от нормальных условий 25 ± 5 (˚С) на 1 ˚С изменения температуры:
-(2,2·10-6·Тx) с</t>
  </si>
  <si>
    <t>Линейка измерительная металлическая ГОСТ 427-75</t>
  </si>
  <si>
    <t>И23359</t>
  </si>
  <si>
    <t>±0,10 мм</t>
  </si>
  <si>
    <t>Относительная влажность</t>
  </si>
  <si>
    <t>Температура окружающего воздуха</t>
  </si>
  <si>
    <t>Скорость
воздушного потока</t>
  </si>
  <si>
    <t>Атмосферное давление</t>
  </si>
  <si>
    <t>Комплект измерительный параметров микроклимата «Метеоскоп-М»</t>
  </si>
  <si>
    <t>±0,2 °C</t>
  </si>
  <si>
    <t>± 3%</t>
  </si>
  <si>
    <t>± 0,13 кПа
(±1 мм.рт.ст)</t>
  </si>
  <si>
    <t>Измерение расстояний</t>
  </si>
  <si>
    <t>Дальномер лазерный ADA Cosmo 70</t>
  </si>
  <si>
    <t>±1,5 мм</t>
  </si>
  <si>
    <t>Температура воздуха</t>
  </si>
  <si>
    <t>Относительная влажность воздуха</t>
  </si>
  <si>
    <t>Прибор комбинированный 
Testo 608-Н2</t>
  </si>
  <si>
    <t>2283666553</t>
  </si>
  <si>
    <t>±3%</t>
  </si>
  <si>
    <t>Сведения о нормативных документах (НД), регламентирующих значения показателей и НД на методы (методики) измерений:</t>
  </si>
  <si>
    <t xml:space="preserve">12. </t>
  </si>
  <si>
    <t xml:space="preserve">Мощность амбиентного эквивалента дозы фотонного излучения (МЭД) </t>
  </si>
  <si>
    <t>Дозиметр-радиометр ДРБП-03</t>
  </si>
  <si>
    <t>СанПиН 2.6.1.2800-10 "Гигиенические требования по ограничению облучения населения за счет природных источников ионизирующего излучения"</t>
  </si>
  <si>
    <t>Мощность дозы гамма-излучения</t>
  </si>
  <si>
    <t>14.</t>
  </si>
  <si>
    <t>Эскиз (ситуационный план), места проведения измерений с указанием точек или профилей измерения:</t>
  </si>
  <si>
    <t>15.</t>
  </si>
  <si>
    <t>Результаты измерений ионизирующих излучений:</t>
  </si>
  <si>
    <t>Результаты измерений МД гамма-излучения</t>
  </si>
  <si>
    <t>№  п/п</t>
  </si>
  <si>
    <t>Наименование места
проведения измерений</t>
  </si>
  <si>
    <t>Дата измерения</t>
  </si>
  <si>
    <t>Профиль 1</t>
  </si>
  <si>
    <t>Профиль 2</t>
  </si>
  <si>
    <t>Профиль 3</t>
  </si>
  <si>
    <t>Профиль 4</t>
  </si>
  <si>
    <t>eq</t>
  </si>
  <si>
    <t>мин</t>
  </si>
  <si>
    <t>макс</t>
  </si>
  <si>
    <t>ср</t>
  </si>
  <si>
    <t>Профиль 5</t>
  </si>
  <si>
    <t>Профиль 6</t>
  </si>
  <si>
    <t>Профиль 7</t>
  </si>
  <si>
    <t>Профиль 8</t>
  </si>
  <si>
    <t>Профиль 9</t>
  </si>
  <si>
    <t>Профиль 10</t>
  </si>
  <si>
    <t>Профиль 11</t>
  </si>
  <si>
    <t>Профиль 12</t>
  </si>
  <si>
    <t>Контрольная точка 1</t>
  </si>
  <si>
    <t>Контрольная точка 2</t>
  </si>
  <si>
    <t>Контрольная точка 3</t>
  </si>
  <si>
    <t>Контрольная точка 4</t>
  </si>
  <si>
    <t>Контрольная точка 5</t>
  </si>
  <si>
    <t>(должность, подпись, Ф.И.О.)</t>
  </si>
  <si>
    <t>660064, Красноярский край, г.о. Красноярск, 
г. Красноярск, ул. Парусная, д. 8, кв. 99</t>
  </si>
  <si>
    <r>
      <t xml:space="preserve">Испытательная лаборатория 
Общества с ограниченной ответственностью
«Центр исследовательских технологий»
</t>
    </r>
    <r>
      <rPr>
        <sz val="10"/>
        <color theme="1"/>
        <rFont val="Arial"/>
        <family val="2"/>
        <charset val="204"/>
      </rPr>
      <t>Уникальный номер записи в Реестре аккредитованных лиц RA.RU.21ОХ37 от 07.04.2023</t>
    </r>
  </si>
  <si>
    <t>660041, Красноярский край, г. Красноярск, 
пр. Свободный дом 75, пом. 9 кабинет 12
+7 (391) 244-03-10, cit-krsk@yandex.ru</t>
  </si>
  <si>
    <t>Сведения о дополнении, отклонении или исключении из методов: -</t>
  </si>
  <si>
    <t>Профили пешеходжной гамма-съемки (на высоте 0,1…0,3 м)</t>
  </si>
  <si>
    <t>Измерение мощности дозы гамма-излучения в контрольных точках (на высоте 1.0м)</t>
  </si>
  <si>
    <t xml:space="preserve">Граница земельного участка </t>
  </si>
  <si>
    <t>Профиль 13</t>
  </si>
  <si>
    <t>Профиль 14</t>
  </si>
  <si>
    <t>Профиль 15</t>
  </si>
  <si>
    <t>Пульта: 21115
БДГ-01: 21067</t>
  </si>
  <si>
    <t>Допустимый 
уровень по СанПиН 2.6.1.2800-10, мкЗв/ч</t>
  </si>
  <si>
    <t>5</t>
  </si>
  <si>
    <t>Мощность дозы гамма-излучения, мкЗв/ч</t>
  </si>
  <si>
    <t xml:space="preserve">10. </t>
  </si>
  <si>
    <t>13.</t>
  </si>
  <si>
    <t xml:space="preserve">15.1. </t>
  </si>
  <si>
    <t>Документы, наименование НД, регламентирующих значения характеристик, показателей (к сведению)</t>
  </si>
  <si>
    <t>Испытательная лаборатория несет ответственность за всю информацию, представленную в протоколе испытаний, за исключением случаев, когда информация предоставляется заказчиком.
Протокол не должен быть воспроизведен не в полном объеме без разрешения испытательной лаборатории ООО «ЦИТ».
Результаты относятся только к объектам, прошедшим испытания и предоставленным заказчиком.
Распределение экземпляров протокола испытаний: два протокола – Заказчику, один протокол – испытательной лаборатории ООО «ЦИТ».</t>
  </si>
  <si>
    <t>Условные обозначения:</t>
  </si>
  <si>
    <t xml:space="preserve">15.2. </t>
  </si>
  <si>
    <t>Результаты измерения плотности потока радона (ППР) из грунта, допустимый уровень, дополнительные сведения:</t>
  </si>
  <si>
    <t xml:space="preserve">№ п/п </t>
  </si>
  <si>
    <t>Наименование места проведения измерений</t>
  </si>
  <si>
    <r>
      <t>Допустимый 
уровень по СанПиН 2.6.1.2800-10,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∙с)</t>
    </r>
  </si>
  <si>
    <t>Точка 1</t>
  </si>
  <si>
    <t>Точка 2</t>
  </si>
  <si>
    <t>Точка 3</t>
  </si>
  <si>
    <t>Точка 4</t>
  </si>
  <si>
    <t>Точка 5</t>
  </si>
  <si>
    <t>Точка 6</t>
  </si>
  <si>
    <t>Точка 7</t>
  </si>
  <si>
    <t>Точка 8</t>
  </si>
  <si>
    <t>Точка 9</t>
  </si>
  <si>
    <t>Точка 10</t>
  </si>
  <si>
    <t>Среднее значение плотности потока радона с поверхности почвы</t>
  </si>
  <si>
    <t>-</t>
  </si>
  <si>
    <t>Плотность потока радона-222 с поверхности земли</t>
  </si>
  <si>
    <t>Комплекс
Измерительный для мониторинга радона «КАМЕРА-01»</t>
  </si>
  <si>
    <t>± 30%</t>
  </si>
  <si>
    <t>Измерение напряжения и частоты переменного ток</t>
  </si>
  <si>
    <t>Мультиметр
Цифровой, АРPА-103N</t>
  </si>
  <si>
    <t>05151010</t>
  </si>
  <si>
    <t>Измерение плотности потока радона (ППР) с поверхности грунта</t>
  </si>
  <si>
    <t>Общество с ограниченной ответственностью «Центр исследовательских технологий» 
(ООО «ЦИТ»)</t>
  </si>
  <si>
    <t>Конец протокола испытаний</t>
  </si>
  <si>
    <t>Измерения проводил: заведующий лабораторией ____________ Тарновский М.О.</t>
  </si>
  <si>
    <t>Протокол подготовил: заведующий лабораторией ____________ Тарновский М.О.</t>
  </si>
  <si>
    <t>УТВЕРЖДАЮ
Заместитель заведующего лабораторией</t>
  </si>
  <si>
    <t>_______________/М.Е. Гаврилова/</t>
  </si>
  <si>
    <t>Профиль 16</t>
  </si>
  <si>
    <t>Профиль 17</t>
  </si>
  <si>
    <t>Профиль 18</t>
  </si>
  <si>
    <t>Профиль 19</t>
  </si>
  <si>
    <t>Профиль 20</t>
  </si>
  <si>
    <t>Профиль 21</t>
  </si>
  <si>
    <t>Профиль 22</t>
  </si>
  <si>
    <t>Контрольная точка 6</t>
  </si>
  <si>
    <t>Контрольная точка 7</t>
  </si>
  <si>
    <t>Контрольная точка 8</t>
  </si>
  <si>
    <t>Контрольная точка 9</t>
  </si>
  <si>
    <t>Контрольная точка 10</t>
  </si>
  <si>
    <t>Контрольная точка 11</t>
  </si>
  <si>
    <t>Точка 11</t>
  </si>
  <si>
    <t>Точка 12</t>
  </si>
  <si>
    <t>Точка 13</t>
  </si>
  <si>
    <t>Точка 14</t>
  </si>
  <si>
    <t>Точка 15</t>
  </si>
  <si>
    <t>Точка 16</t>
  </si>
  <si>
    <t>± (15+4/Н)%
В диапазоне от 0,1 до 1,00 мкЗв/ч
± 15%
В диапазоне от 1.0 до 1000,0 мкЗв/ч
Где Н – измеренные числовые значения МЭД</t>
  </si>
  <si>
    <t>±(0,013×X + 5×к) для 40 Гц…1 кГц
±(0,015×X + 5×к) в полосе частот 50…60 Гц
±(0,0001*X + 1*к) 
X – значение измеренной величины по встроенному индикатору, к – цена единицы младшего разряда индикатора</t>
  </si>
  <si>
    <t>±0,5 (от 0 до  +50 °С), ±1,5 (в ост. диапазоне)</t>
  </si>
  <si>
    <t>±(0,05+0,05V) м/с
в диапазоне от 0,1 до 1 м/с включ.
±(0,1+0,05V) м/с в диапазоне св. 1 до 20 м/с.
где V – значение измеряемой скорости, м/с</t>
  </si>
  <si>
    <t>Контрольная точка 12</t>
  </si>
  <si>
    <r>
      <t xml:space="preserve">Выберите ячейку (или столбец) с данными, где значения разделены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>.</t>
    </r>
  </si>
  <si>
    <r>
      <t xml:space="preserve">Перейдите в меню </t>
    </r>
    <r>
      <rPr>
        <b/>
        <sz val="11"/>
        <color theme="1"/>
        <rFont val="Calibri"/>
        <family val="2"/>
        <scheme val="minor"/>
      </rPr>
      <t>"Данные" → "Текст по столбцам"</t>
    </r>
    <r>
      <rPr>
        <sz val="11"/>
        <color theme="1"/>
        <rFont val="Calibri"/>
        <family val="2"/>
        <scheme val="minor"/>
      </rPr>
      <t>.</t>
    </r>
  </si>
  <si>
    <r>
      <t xml:space="preserve">Выберите </t>
    </r>
    <r>
      <rPr>
        <b/>
        <sz val="11"/>
        <color theme="1"/>
        <rFont val="Calibri"/>
        <family val="2"/>
        <scheme val="minor"/>
      </rPr>
      <t>"С разделителями"</t>
    </r>
    <r>
      <rPr>
        <sz val="11"/>
        <color theme="1"/>
        <rFont val="Calibri"/>
        <family val="2"/>
        <scheme val="minor"/>
      </rPr>
      <t xml:space="preserve"> и нажмите </t>
    </r>
    <r>
      <rPr>
        <b/>
        <sz val="11"/>
        <color theme="1"/>
        <rFont val="Calibri"/>
        <family val="2"/>
        <scheme val="minor"/>
      </rPr>
      <t>"Далее"</t>
    </r>
    <r>
      <rPr>
        <sz val="11"/>
        <color theme="1"/>
        <rFont val="Calibri"/>
        <family val="2"/>
        <scheme val="minor"/>
      </rPr>
      <t>.</t>
    </r>
  </si>
  <si>
    <r>
      <t xml:space="preserve">Поставьте галочку на </t>
    </r>
    <r>
      <rPr>
        <b/>
        <sz val="11"/>
        <color theme="1"/>
        <rFont val="Calibri"/>
        <family val="2"/>
        <scheme val="minor"/>
      </rPr>
      <t>";"</t>
    </r>
    <r>
      <rPr>
        <sz val="11"/>
        <color theme="1"/>
        <rFont val="Calibri"/>
        <family val="2"/>
        <scheme val="minor"/>
      </rPr>
      <t xml:space="preserve"> как разделитель.</t>
    </r>
  </si>
  <si>
    <r>
      <t xml:space="preserve">Нажмите </t>
    </r>
    <r>
      <rPr>
        <b/>
        <sz val="11"/>
        <color theme="1"/>
        <rFont val="Calibri"/>
        <family val="2"/>
        <scheme val="minor"/>
      </rPr>
      <t>"Готово"</t>
    </r>
    <r>
      <rPr>
        <sz val="11"/>
        <color theme="1"/>
        <rFont val="Calibri"/>
        <family val="2"/>
        <scheme val="minor"/>
      </rPr>
      <t xml:space="preserve"> – данные разложатся по соседним ячейкам.</t>
    </r>
  </si>
  <si>
    <t>Ua</t>
  </si>
  <si>
    <t>Сумма квадратов</t>
  </si>
  <si>
    <t>Ub</t>
  </si>
  <si>
    <t>Uс</t>
  </si>
  <si>
    <t>Итоговая</t>
  </si>
  <si>
    <t>Абсолют</t>
  </si>
  <si>
    <t xml:space="preserve">Среднее значение мощности дозы гамма-излучения, мкЗв/ч  </t>
  </si>
  <si>
    <t>Точка 17</t>
  </si>
  <si>
    <t>Точка 18</t>
  </si>
  <si>
    <r>
      <t>Плотность потока радона с поверхности грунта,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∙с)</t>
    </r>
  </si>
  <si>
    <t>ОБЪЕДИНИТЬ("; "; ИСТИНА; Y7:AP7)</t>
  </si>
  <si>
    <t xml:space="preserve">  С-АШ/21-05-2025/433383424 до 20.05.2026</t>
  </si>
  <si>
    <t>Профиль 23</t>
  </si>
  <si>
    <t>Профиль 24</t>
  </si>
  <si>
    <t>Профиль 25</t>
  </si>
  <si>
    <t>Профиль 26</t>
  </si>
  <si>
    <t>Профиль 27</t>
  </si>
  <si>
    <t>Профиль 28</t>
  </si>
  <si>
    <t>Профиль 29</t>
  </si>
  <si>
    <t>Профиль 30</t>
  </si>
  <si>
    <t>Профиль 31</t>
  </si>
  <si>
    <t>Профиль 32</t>
  </si>
  <si>
    <t>Профиль 33</t>
  </si>
  <si>
    <t>Профиль 34</t>
  </si>
  <si>
    <t>Профиль 35</t>
  </si>
  <si>
    <t>Профиль 36</t>
  </si>
  <si>
    <t>000873</t>
  </si>
  <si>
    <t>Протокол испытаний № 1/02.02.26-1-Р/26</t>
  </si>
  <si>
    <t>С-ТТ/30-01-2026/500586438 до 29.01.2027</t>
  </si>
  <si>
    <t>С-АШ/19-01-2026/495362541 до 18.01.2027</t>
  </si>
  <si>
    <t>С-АШ/19-01-2026/495362001  до 18.01.2027</t>
  </si>
  <si>
    <t>С-АШ/21-10-2025/475682276 до
20.10.2026</t>
  </si>
  <si>
    <t>С-АШ/21-01-2026/496235486 до 20.01.2027</t>
  </si>
  <si>
    <t xml:space="preserve">С-АШ/19-01-2026/495368144 до 18.01.2027 </t>
  </si>
  <si>
    <t>Гамма-съемка территории проведена в режиме свободного поиска по маршрутным профилям, расстояние между которыми не превышает 5 метров на участке. Диапазон показаний дозиметра-радиометра: от 0,10 мкЗв/ч до 0,21 мкЗв/ч. Радиационных аномалий на обследуемой территории  не обнаружено (в соответствии с МР 2.6.1.0361-24)</t>
  </si>
  <si>
    <t>Контрольная точка 13</t>
  </si>
  <si>
    <t>Контрольная точка 14</t>
  </si>
  <si>
    <t>Контрольная точка 15</t>
  </si>
  <si>
    <t>Контрольная точка 16</t>
  </si>
  <si>
    <t>Контрольная точка 17</t>
  </si>
  <si>
    <t>Контрольная точка 18</t>
  </si>
  <si>
    <t>Контрольная точка 19</t>
  </si>
  <si>
    <t>Контрольная точка 20</t>
  </si>
  <si>
    <t>Контрольная точка 21</t>
  </si>
  <si>
    <t>Контрольная точка 22</t>
  </si>
  <si>
    <t>Контрольная точка 23</t>
  </si>
  <si>
    <t>Контрольная точка 24</t>
  </si>
  <si>
    <t>Контрольная точка 25</t>
  </si>
  <si>
    <t>Контрольная точка 26</t>
  </si>
  <si>
    <t>Контрольная точка 27</t>
  </si>
  <si>
    <t>Контрольная точка 28</t>
  </si>
  <si>
    <t>Контрольная точка 29</t>
  </si>
  <si>
    <t>Контрольная точка 30</t>
  </si>
  <si>
    <t>Контрольная точка 31</t>
  </si>
  <si>
    <t>Контрольная точка 32</t>
  </si>
  <si>
    <t>Контрольная точка 33</t>
  </si>
  <si>
    <t>Контрольная точка 34</t>
  </si>
  <si>
    <t>Контрольная точка 35</t>
  </si>
  <si>
    <t>Контрольная точка 36</t>
  </si>
  <si>
    <t>Контрольная точка 37</t>
  </si>
  <si>
    <t>Контрольная точка 38</t>
  </si>
  <si>
    <t>Контрольная точка 39</t>
  </si>
  <si>
    <t>Контрольная точка 40</t>
  </si>
  <si>
    <t>Контрольная точка 41</t>
  </si>
  <si>
    <t>Контрольная точка 42</t>
  </si>
  <si>
    <t>Контрольная точка 43</t>
  </si>
  <si>
    <t>Контрольная точка 44</t>
  </si>
  <si>
    <t>Контрольная точка 45</t>
  </si>
  <si>
    <t>Контрольная точка 46</t>
  </si>
  <si>
    <t>0,2; 0,15; 0,14; 0,12; 0,11; 0,17; 0,15; 0,15; 0,13; 0,13; 0,13; 0,16; 0,11; 0,18; 0,18; 0,14; 0,15; 0,14; 0,11; 0,19</t>
  </si>
  <si>
    <t>Профиль 37</t>
  </si>
  <si>
    <t>Профиль 38</t>
  </si>
  <si>
    <t>Профиль 39</t>
  </si>
  <si>
    <t>Профиль 40</t>
  </si>
  <si>
    <t>Профиль 41</t>
  </si>
  <si>
    <t>0,16; 0,16; 0,17; 0,10; 0,15; 0,18; 0,10; 0,17; 0,13; 0,14; 0,19; 0,11; 0,11; 0,15; 0,11; 0,13; 0,10; 0,12; 0,14; 0,16; 0,19; 0,18; 0,13; 0,16; 0,15; 0,17; 0,13</t>
  </si>
  <si>
    <t>0,1; 0,16; 0,13; 0,13; 0,19; 0,14; 0,13; 0,11; 0,16; 0,13; 0,12; 0,21; 0,11; 0,12; 0,10; 0,13; 0,16; 0,16; 0,10; 0,19; 0,14; 0,13; 0,10; 0,21; 0,13; 0,16; 0,16</t>
  </si>
  <si>
    <t>0,19; 0,17; 0,11; 0,16; 0,14; 0,16; 0,11; 0,14; 0,15; 0,11; 0,17; 0,17; 0,10; 0,12; 0,15; 0,12; 0,10; 0,11; 0,12; 0,10; 0,13; 0,18; 0,16; 0,13; 0,19; 0,16; 0,16</t>
  </si>
  <si>
    <t>0,18; 0,19; 0,15; 0,12; 0,15; 0,15; 0,11; 0,18; 0,14; 0,15; 0,10; 0,1; 0,16; 0,14; 0,13; 0,12; 0,17; 0,16; 0,10; 0,17; 0,11; 0,11; 0,18; 0,11; 0,10; 0,12; 0,11</t>
  </si>
  <si>
    <t>0,1; 0,21; 0,14; 0,12; 0,19; 0,19; 0,16; 0,12; 0,12; 0,19; 0,16; 0,15; 0,11; 0,10; 0,19; 0,18; 0,13; 0,14; 0,17; 0,15; 0,18; 0,14; 0,12; 0,11; 0,17; 0,17; 0,14</t>
  </si>
  <si>
    <t>0,15; 0,10; 0,18; 0,10; 0,1; 0,10; 0,16; 0,11; 0,10; 0,19; 0,17; 0,10; 0,16; 0,19; 0,14; 0,19; 0,13; 0,16; 0,10; 0,11; 0,16; 0,15; 0,11; 0,15; 0,15; 0,13; 0,11</t>
  </si>
  <si>
    <t>0,14; 0,14; 0,12; 0,19; 0,21; 0,16; 0,15; 0,11; 0,12; 0,15; 0,18; 0,16; 0,14; 0,12; 0,12; 0,14; 0,15; 0,21; 0,12; 0,10; 0,18; 0,19; 0,13; 0,21; 0,10; 0,13; 0,12</t>
  </si>
  <si>
    <t>0,12; 0,17; 0,17; 0,15; 0,10; 0,17; 0,14; 0,19; 0,19; 0,19; 0,15; 0,21; 0,15; 0,16; 0,13; 0,10; 0,14; 0,12; 0,12; 0,12</t>
  </si>
  <si>
    <t>0,16; 0,13; 0,12; 0,15; 0,10; 0,11; 0,11; 0,14; 0,12; 0,11; 0,18; 0,13; 0,18; 0,10; 0,11; 0,12; 0,10; 0,19; 0,14; 0,11</t>
  </si>
  <si>
    <t>0,15; 0,10; 0,12; 0,19; 0,17; 0,18; 0,18; 0,11; 0,10; 0,15; 0,13; 0,17; 0,19; 0,17; 0,17; 0,18; 0,18; 0,16; 0,13; 0,1</t>
  </si>
  <si>
    <t>0,18; 0,21; 0,21; 0,21; 0,14; 0,16; 0,10; 0,17; 0,18; 0,14; 0,18; 0,12; 0,11; 0,16; 0,10; 0,14; 0,18; 0,12; 0,13; 0,1</t>
  </si>
  <si>
    <t>0,16; 0,17; 0,12; 0,15; 0,17; 0,18; 0,17; 0,12; 0,14; 0,21; 0,14; 0,10; 0,17; 0,18; 0,10; 0,16; 0,14; 0,11; 0,18; 0,16</t>
  </si>
  <si>
    <t>0,18; 0,13; 0,12; 0,11; 0,11; 0,10; 0,15; 0,18; 0,16; 0,11; 0,13; 0,16</t>
  </si>
  <si>
    <t>0,18; 0,13; 0,14; 0,21; 0,21; 0,18; 0,12; 0,10; 0,12; 0,19; 0,13; 0,11</t>
  </si>
  <si>
    <t>0,14; 0,19; 0,21; 0,18; 0,10; 0,12; 0,18; 0,13; 0,13; 0,11; 0,13; 0,21</t>
  </si>
  <si>
    <t>0,17; 0,15; 0,16; 0,14; 0,16; 0,13; 0,12; 0,21; 0,12; 0,17; 0,10; 0,11</t>
  </si>
  <si>
    <t>0,12; 0,12; 0,15; 0,10; 0,12; 0,12; 0,21; 0,17; 0,18; 0,16; 0,10; 0,17</t>
  </si>
  <si>
    <t>0,18; 0,19; 0,13; 0,21; 0,11; 0,18; 0,10; 0,11; 0,12; 0,10; 0,12; 0,13</t>
  </si>
  <si>
    <t>0,1; 0,15; 0,21; 0,10; 0,17; 0,11; 0,19; 0,16; 0,11; 0,14; 0,10; 0,1; 0,13; 0,19; 0,18; 0,20; 0,11; 0,18; 0,13; 0,18; 0,11; 0,12; 0,10; 0,17; 0,16; 0,10; 0,18</t>
  </si>
  <si>
    <t>0,14; 0,13; 0,19; 0,12; 0,16; 0,19; 0,11; 0,10; 0,12; 0,13; 0,17; 0,11; 0,16; 0,13; 0,17; 0,13; 0,20; 0,2; 0,19; 0,12; 0,16; 0,12; 0,19; 0,11; 0,12; 0,13; 0,1</t>
  </si>
  <si>
    <t>0,1; 0,14; 0,19; 0,18; 0,12; 0,15; 0,15; 0,17; 0,18; 0,13; 0,17; 0,18; 0,21; 0,12; 0,21; 0,20; 0,10; 0,19; 0,17; 0,16; 0,18; 0,10; 0,11; 0,12; 0,18; 0,18; 0,11</t>
  </si>
  <si>
    <t>0,16; 0,11; 0,19; 0,17; 0,21; 0,21; 0,21; 0,19; 0,20; 0,19; 0,20; 0,10; 0,11; 0,11; 0,10; 0,13; 0,15; 0,15; 0,20; 0,10; 0,12; 0,11; 0,12; 0,10; 0,15; 0,18; 0,12</t>
  </si>
  <si>
    <t>0,11; 0,17; 0,18; 0,21; 0,20; 0,2; 0,13; 0,14; 0,11; 0,13; 0,11; 0,20; 0,19; 0,11; 0,14; 0,21; 0,14; 0,12; 0,10; 0,1; 0,18; 0,12; 0,11; 0,12; 0,12; 0,20; 0,14</t>
  </si>
  <si>
    <t>0,17; 0,15; 0,11; 0,21; 0,19; 0,20; 0,19; 0,10; 0,19; 0,20; 0,19; 0,13; 0,21; 0,18; 0,16; 0,15; 0,17; 0,16; 0,13; 0,10; 0,13; 0,15; 0,12; 0,15; 0,12; 0,12; 0,1</t>
  </si>
  <si>
    <t>0,16; 0,10; 0,12; 0,10; 0,19; 0,10; 0,12; 0,19; 0,12; 0,10; 0,18; 0,19; 0,15; 0,14; 0,17; 0,12; 0,12; 0,21; 0,12; 0,14; 0,20; 0,17; 0,14; 0,15; 0,11; 0,10; 0,14</t>
  </si>
  <si>
    <t>0,14; 0,15; 0,10; 0,17; 0,20; 0,2; 0,18; 0,14; 0,16; 0,12; 0,10; 0,11; 0,10; 0,12; 0,13; 0,11; 0,19; 0,13; 0,13; 0,15; 0,11; 0,15; 0,11; 0,15; 0,11; 0,15; 0,11</t>
  </si>
  <si>
    <t>0,11; 0,10; 0,17; 0,16; 0,13; 0,19; 0,10; 0,13; 0,10; 0,15; 0,13; 0,19; 0,10; 0,12; 0,11; 0,20; 0,10; 0,16; 0,18; 0,12; 0,12; 0,17; 0,11; 0,11; 0,11; 0,20; 0,2</t>
  </si>
  <si>
    <t>0,13; 0,17; 0,16; 0,15; 0,15; 0,12; 0,11; 0,20; 0,10; 0,12; 0,13; 0,12; 0,10; 0,1; 0,13; 0,18; 0,11; 0,10; 0,12; 0,14; 0,20; 0,17; 0,19; 0,14; 0,12; 0,16; 0,14</t>
  </si>
  <si>
    <t>0,1; 0,15; 0,13; 0,15; 0,12; 0,20; 0,17; 0,10; 0,13; 0,20; 0,13; 0,15; 0,19; 0,14; 0,13; 0,14; 0,11; 0,11; 0,14; 0,13; 0,11; 0,12; 0,12; 0,11; 0,18; 0,18; 0,13</t>
  </si>
  <si>
    <t>0,15; 0,17; 0,12; 0,10; 0,18; 0,20; 0,2; 0,11; 0,17; 0,12; 0,11; 0,16; 0,19; 0,11; 0,12; 0,15; 0,16; 0,12; 0,11; 0,15; 0,11; 0,11; 0,11; 0,14; 0,13; 0,12; 0,14</t>
  </si>
  <si>
    <t>0,11; 0,15; 0,19; 0,18; 0,11; 0,20; 0,10; 0,1; 0,16; 0,18; 0,14; 0,17; 0,19; 0,16; 0,21; 0,17; 0,18; 0,11; 0,16; 0,12; 0,18; 0,14; 0,13; 0,20; 0,2; 0,13; 0,2</t>
  </si>
  <si>
    <t>0,14; 0,16; 0,17; 0,14; 0,11; 0,13; 0,19; 0,12; 0,16; 0,15; 0,16; 0,13; 0,20; 0,19; 0,10; 0,16; 0,10; 0,14; 0,17; 0,19</t>
  </si>
  <si>
    <t>0,1; 0,15; 0,19; 0,10; 0,13; 0,11; 0,20; 0,13; 0,16; 0,20; 0,2; 0,18; 0,11; 0,12; 0,19; 0,18; 0,19; 0,11; 0,20; 0,18</t>
  </si>
  <si>
    <t>0,13; 0,13; 0,10; 0,12; 0,11; 0,18; 0,16; 0,20; 0,19; 0,10; 0,17; 0,20; 0,15; 0,19; 0,10; 0,13; 0,14; 0,14; 0,16; 0,2</t>
  </si>
  <si>
    <t>0,13; 0,10; 0,1; 0,11; 0,11; 0,16; 0,15; 0,11; 0,16; 0,18; 0,14; 0,20; 0,12; 0,10; 0,12; 0,17; 0,19; 0,13; 0,11; 0,13</t>
  </si>
  <si>
    <t>0,2; 0,12; 0,19; 0,20; 0,13; 0,15; 0,12; 0,12; 0,12; 0,10; 0,1; 0,14; 0,11; 0,17; 0,18; 0,10; 0,1; 0,11; 0,10; 0,14</t>
  </si>
  <si>
    <t>0,17; 0,17; 0,11; 0,14; 0,11; 0,11; 0,16; 0,20; 0,11; 0,19; 0,13; 0,17</t>
  </si>
  <si>
    <t>0,1; 0,20; 0,11; 0,14; 0,17; 0,18; 0,11; 0,18; 0,18; 0,11; 0,10; 0,12</t>
  </si>
  <si>
    <t>0,14; 0,17; 0,10; 0,18; 0,17; 0,13; 0,20; 0,12; 0,11; 0,10; 0,1; 0,18</t>
  </si>
  <si>
    <t>0,1; 0,12; 0,10; 0,1; 0,21; 0,16; 0,19; 0,20; 0,17; 0,14; 0,10; 0,19</t>
  </si>
  <si>
    <t>Точка 19</t>
  </si>
  <si>
    <t>Точка 20</t>
  </si>
  <si>
    <t>Точка 21</t>
  </si>
  <si>
    <t>Точка 22</t>
  </si>
  <si>
    <t>Точка 23</t>
  </si>
  <si>
    <t>Точка 24</t>
  </si>
  <si>
    <t>Точка 25</t>
  </si>
  <si>
    <t>Точка 26</t>
  </si>
  <si>
    <t>Точка 27</t>
  </si>
  <si>
    <t>Точка 28</t>
  </si>
  <si>
    <t>Точка 29</t>
  </si>
  <si>
    <t>Точка 30</t>
  </si>
  <si>
    <t>Точка 31</t>
  </si>
  <si>
    <t>Точка 32</t>
  </si>
  <si>
    <t>Точка 33</t>
  </si>
  <si>
    <t>Точка 34</t>
  </si>
  <si>
    <t>Точка 35</t>
  </si>
  <si>
    <t>Точка 36</t>
  </si>
  <si>
    <t>Точка 37</t>
  </si>
  <si>
    <t>Точка 38</t>
  </si>
  <si>
    <t>Точка 39</t>
  </si>
  <si>
    <t>Точка 40</t>
  </si>
  <si>
    <t>Точка 41</t>
  </si>
  <si>
    <t>Точка 42</t>
  </si>
  <si>
    <t>Точка 43</t>
  </si>
  <si>
    <t>Точка 44</t>
  </si>
  <si>
    <t>Точка 45</t>
  </si>
  <si>
    <t>Точка 46</t>
  </si>
  <si>
    <t>Точка 47</t>
  </si>
  <si>
    <t>Точка 48</t>
  </si>
  <si>
    <t>Точка 49</t>
  </si>
  <si>
    <t>Точка 50</t>
  </si>
  <si>
    <t>Точка 51</t>
  </si>
  <si>
    <t>Точка 52</t>
  </si>
  <si>
    <t>Точка 53</t>
  </si>
  <si>
    <t>Точка 54</t>
  </si>
  <si>
    <t>Точка 55</t>
  </si>
  <si>
    <t>Точка 56</t>
  </si>
  <si>
    <t>Точка 57</t>
  </si>
  <si>
    <t>Точка 58</t>
  </si>
  <si>
    <t>Точка 59</t>
  </si>
  <si>
    <t>Точка 60</t>
  </si>
  <si>
    <t>Точка 61</t>
  </si>
  <si>
    <t>Точка 62</t>
  </si>
  <si>
    <t>Точка 63</t>
  </si>
  <si>
    <t>Точка 64</t>
  </si>
  <si>
    <t>Точка 65</t>
  </si>
  <si>
    <t>Точка 66</t>
  </si>
  <si>
    <t>Точка 67</t>
  </si>
  <si>
    <t>Точка 68</t>
  </si>
  <si>
    <t>Точка 69</t>
  </si>
  <si>
    <r>
      <t>Среднее значение плотности потока радона с поверхности почвы с учетом неопределенности  R</t>
    </r>
    <r>
      <rPr>
        <vertAlign val="subscript"/>
        <sz val="10"/>
        <color theme="1"/>
        <rFont val="Arial"/>
        <family val="2"/>
        <charset val="204"/>
      </rPr>
      <t>ср</t>
    </r>
    <r>
      <rPr>
        <sz val="10"/>
        <color theme="1"/>
        <rFont val="Arial"/>
        <family val="2"/>
        <charset val="204"/>
      </rPr>
      <t xml:space="preserve"> ± δ - (22 ± 17)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 xml:space="preserve">∙с) </t>
    </r>
  </si>
  <si>
    <t>Дополнительные сведения (характеристика объекта): Измерения были проведены 04.03.2026, 05.03.2026, 13.03.2026, 18.03.2026. Площадь общая 45 853,47 кв. м. Измерения ППР выполнены на участках открытого и сухого грунта. Температура воздуха: 04.03.2026 составила от минус 9 °С до минус 4 °С, относительная влажность воздуха от 52 % до 66 %, атмосферное давление 745 мм рт. ст., без осадков; 05.03.2026 составила от минус 9 °С до минус 2 °С, относительная влажность воздуха от 49 % до 70 %, атмосферное давление 741 мм рт. ст., без осадков; 13.03.2026 составила от минус 8 °С до минус 1 °С, относительная влажность воздуха от 49 % до 67 %, атмосферное давление 742 мм рт. ст., без осадков; 18.03.2026 составила от минус 4 °С до плюс 1°С, относительная влажность воздуха от 54 % до 62 %, атмосферное давление 740 мм рт. ст., без осадков. Эскиз предоставлен заказчиком. При измерениях на объекте заказчик самостоятельно определяет расположение точки в соответствии с эскизом.</t>
  </si>
  <si>
    <t>Абсолютная расширенная неопределенность (U), мкЗв/ч</t>
  </si>
  <si>
    <r>
      <t>Абсолютная расширенная неопределенность (U),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∙с)</t>
    </r>
  </si>
  <si>
    <t>20 марта 2026 г.</t>
  </si>
  <si>
    <t>МР 2.6.1.0361-24 п.IV "Радиационный контроль земельных участков, предназначенных под строительство жилых домов, зданий и сооружений общественного и производственного назначения, а также прилегающей к зданиям и сооружениям территории и территории общего пользования" / Прочие методы радиационных исследований (испытаний)</t>
  </si>
  <si>
    <t>U - значение расширенной неопределенности результата измерения, выраженное в абсолютных значениях. Указанная расширенная неопределенность измерений установлена как стандартная неопределенность измерений, умноженная на коэффициент охвата k (k=2), который соответствует вероятности охвата около 95 %</t>
  </si>
  <si>
    <t>Наименование и контактные данные заявителя (заказчика): ООО СЗ «К-ГРУПП», k_group24@mail.ru,  т. +7 (391) 232-06-89</t>
  </si>
  <si>
    <t>Юридический адрес заказчика: 660074, г. Красноярск, ул. Ленинградская, д.5 б, помещение 216</t>
  </si>
  <si>
    <t>Фактический адрес заказчика: 660074, г. Красноярск, ул. Ленинградская, д.5 б, помещение 216</t>
  </si>
  <si>
    <t>Наименование предприятия, организации, объекта, где производились измерения: «Комплекс жилых домов с инженерным обеспечением по ул. Маяковского»</t>
  </si>
  <si>
    <t>Адрес предприятия (объекта):  городской округ Красноярск, городской посёлок Берёзовка, ул. Маяковского. Земельный участок из земель населенных пунктов с кадастровым номером 24:04:6101001:21 площадью 45 853,47 кв. м.</t>
  </si>
  <si>
    <t>Основание для измерений: договор № 1 от 02.02.2026, заявка № 1/02.02.26 от 02.02.2026</t>
  </si>
  <si>
    <t>Измерения проводились в присутствии представителя заказчика: инженер Спирин Е.С.</t>
  </si>
  <si>
    <t>Регистрационный номер карты замеров и(или) журнал регистрации результатов определения плотности потока радона: 1/02.02.26-1К и 1/2026</t>
  </si>
  <si>
    <t>Плотность потока радона (ППР) с поверхности, среднее значение плотности потока радона с поверхности почвы</t>
  </si>
  <si>
    <t>Показатели, по которым проводились измерения: плотность потока радона (ППР) с поверхности грунта, среднее значение плотности потока радона с поверхности почвы,  мощность дозы гамма-излучения</t>
  </si>
  <si>
    <t>С-ГЛР/02-02-2026/501012535 до 01.02.2028</t>
  </si>
  <si>
    <t>Данные, предоставленные заказчиком, за которые он несет ответственность:  Площадь общая 45 853,47 кв. м. Допустимый уровень в пункте 15. Испытательная лаборатория не несет ответственность за данные, предоставленные заказчиком (заявление об ограничении ответственности испытательной лаборатории).</t>
  </si>
  <si>
    <t xml:space="preserve">Идентификация применяемого метода испытаний / метод (методика) измерений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</si>
</sst>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sz val="10"/>
      <color theme="1"/>
      <name val="Calibri"/>
      <family val="2"/>
      <scheme val="minor"/>
    </font>
    <font>
      <vertAlign val="superscript"/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vertAlign val="subscript"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" fontId="0" fillId="0" borderId="0" xfId="0" applyNumberFormat="1"/>
    <xf numFmtId="2" fontId="3" fillId="0" borderId="0" xfId="0" applyNumberFormat="1" applyFont="1"/>
    <xf numFmtId="2" fontId="0" fillId="0" borderId="0" xfId="0" applyNumberFormat="1"/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2" fontId="0" fillId="2" borderId="0" xfId="0" applyNumberFormat="1" applyFill="1"/>
    <xf numFmtId="2" fontId="0" fillId="3" borderId="0" xfId="0" applyNumberFormat="1" applyFill="1"/>
    <xf numFmtId="1" fontId="8" fillId="0" borderId="1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 wrapText="1"/>
    </xf>
    <xf numFmtId="1" fontId="0" fillId="4" borderId="0" xfId="0" applyNumberFormat="1" applyFill="1"/>
    <xf numFmtId="1" fontId="0" fillId="5" borderId="0" xfId="0" applyNumberFormat="1" applyFill="1"/>
    <xf numFmtId="1" fontId="0" fillId="3" borderId="0" xfId="0" applyNumberFormat="1" applyFill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11" fillId="0" borderId="0" xfId="0" applyFont="1"/>
    <xf numFmtId="2" fontId="0" fillId="4" borderId="0" xfId="0" applyNumberFormat="1" applyFill="1"/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2" fontId="1" fillId="0" borderId="0" xfId="0" applyNumberFormat="1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 wrapText="1"/>
    </xf>
    <xf numFmtId="1" fontId="8" fillId="0" borderId="0" xfId="1" applyNumberFormat="1" applyFont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3" fillId="0" borderId="0" xfId="0" applyFont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2" fontId="3" fillId="4" borderId="0" xfId="0" applyNumberFormat="1" applyFont="1" applyFill="1"/>
    <xf numFmtId="0" fontId="1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14" fontId="1" fillId="0" borderId="1" xfId="0" applyNumberFormat="1" applyFont="1" applyBorder="1" applyAlignment="1">
      <alignment horizontal="center" vertical="center" textRotation="90"/>
    </xf>
    <xf numFmtId="14" fontId="1" fillId="0" borderId="6" xfId="0" applyNumberFormat="1" applyFont="1" applyBorder="1" applyAlignment="1">
      <alignment horizontal="center" vertical="center" textRotation="90"/>
    </xf>
    <xf numFmtId="14" fontId="1" fillId="0" borderId="11" xfId="0" applyNumberFormat="1" applyFont="1" applyBorder="1" applyAlignment="1">
      <alignment horizontal="center" vertical="center" textRotation="90"/>
    </xf>
    <xf numFmtId="14" fontId="1" fillId="0" borderId="7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 textRotation="90"/>
    </xf>
    <xf numFmtId="14" fontId="3" fillId="0" borderId="11" xfId="0" applyNumberFormat="1" applyFont="1" applyBorder="1" applyAlignment="1">
      <alignment horizontal="center" vertical="center" textRotation="90"/>
    </xf>
    <xf numFmtId="14" fontId="3" fillId="0" borderId="7" xfId="0" applyNumberFormat="1" applyFont="1" applyBorder="1" applyAlignment="1">
      <alignment horizontal="center" vertical="center" textRotation="90"/>
    </xf>
    <xf numFmtId="14" fontId="3" fillId="0" borderId="1" xfId="0" applyNumberFormat="1" applyFont="1" applyBorder="1" applyAlignment="1">
      <alignment horizontal="center" vertical="center" textRotation="90"/>
    </xf>
    <xf numFmtId="0" fontId="1" fillId="0" borderId="0" xfId="0" applyFont="1" applyAlignment="1">
      <alignment horizontal="left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_протокол карабулалес ЛПК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298"/>
  <sheetViews>
    <sheetView tabSelected="1" view="pageLayout" topLeftCell="A53" zoomScale="145" zoomScaleNormal="190" zoomScaleSheetLayoutView="160" zoomScalePageLayoutView="145" workbookViewId="0">
      <selection activeCell="P57" sqref="P57:Z57"/>
    </sheetView>
  </sheetViews>
  <sheetFormatPr defaultRowHeight="15"/>
  <cols>
    <col min="1" max="27" width="5" customWidth="1"/>
    <col min="28" max="145" width="4.5703125" customWidth="1"/>
  </cols>
  <sheetData>
    <row r="1" spans="1:26" ht="15" customHeight="1">
      <c r="A1" s="75" t="s">
        <v>120</v>
      </c>
      <c r="B1" s="75"/>
      <c r="C1" s="75"/>
      <c r="D1" s="75"/>
      <c r="E1" s="75"/>
      <c r="F1" s="75"/>
      <c r="G1" s="75"/>
      <c r="H1" s="75"/>
      <c r="I1" s="75"/>
      <c r="S1" s="77" t="s">
        <v>124</v>
      </c>
      <c r="T1" s="78"/>
      <c r="U1" s="78"/>
      <c r="V1" s="78"/>
      <c r="W1" s="78"/>
      <c r="X1" s="78"/>
      <c r="Y1" s="78"/>
      <c r="Z1" s="78"/>
    </row>
    <row r="2" spans="1:26" ht="15.75" customHeight="1">
      <c r="A2" s="75"/>
      <c r="B2" s="75"/>
      <c r="C2" s="75"/>
      <c r="D2" s="75"/>
      <c r="E2" s="75"/>
      <c r="F2" s="75"/>
      <c r="G2" s="75"/>
      <c r="H2" s="75"/>
      <c r="I2" s="75"/>
      <c r="S2" s="78"/>
      <c r="T2" s="78"/>
      <c r="U2" s="78"/>
      <c r="V2" s="78"/>
      <c r="W2" s="78"/>
      <c r="X2" s="78"/>
      <c r="Y2" s="78"/>
      <c r="Z2" s="78"/>
    </row>
    <row r="3" spans="1:26">
      <c r="A3" s="75"/>
      <c r="B3" s="75"/>
      <c r="C3" s="75"/>
      <c r="D3" s="75"/>
      <c r="E3" s="75"/>
      <c r="F3" s="75"/>
      <c r="G3" s="75"/>
      <c r="H3" s="75"/>
      <c r="I3" s="75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1" t="s">
        <v>76</v>
      </c>
      <c r="B4" s="61"/>
      <c r="C4" s="61"/>
      <c r="D4" s="61"/>
      <c r="E4" s="61"/>
      <c r="F4" s="61"/>
      <c r="G4" s="61"/>
      <c r="H4" s="61"/>
      <c r="I4" s="61"/>
      <c r="S4" s="3"/>
      <c r="T4" s="3"/>
      <c r="U4" s="3"/>
      <c r="V4" s="3"/>
      <c r="W4" s="3"/>
      <c r="X4" s="3"/>
      <c r="Y4" s="3"/>
      <c r="Z4" s="3"/>
    </row>
    <row r="5" spans="1:26">
      <c r="A5" s="61"/>
      <c r="B5" s="61"/>
      <c r="C5" s="61"/>
      <c r="D5" s="61"/>
      <c r="E5" s="61"/>
      <c r="F5" s="61"/>
      <c r="G5" s="61"/>
      <c r="H5" s="61"/>
      <c r="I5" s="61"/>
      <c r="S5" s="78" t="s">
        <v>125</v>
      </c>
      <c r="T5" s="78"/>
      <c r="U5" s="78"/>
      <c r="V5" s="78"/>
      <c r="W5" s="78"/>
      <c r="X5" s="78"/>
      <c r="Y5" s="78"/>
      <c r="Z5" s="78"/>
    </row>
    <row r="6" spans="1:26" ht="15" customHeight="1">
      <c r="A6" s="75" t="s">
        <v>77</v>
      </c>
      <c r="B6" s="76"/>
      <c r="C6" s="76"/>
      <c r="D6" s="76"/>
      <c r="E6" s="76"/>
      <c r="F6" s="76"/>
      <c r="G6" s="76"/>
      <c r="H6" s="76"/>
      <c r="I6" s="76"/>
      <c r="S6" s="24"/>
      <c r="T6" s="24"/>
      <c r="U6" s="24"/>
      <c r="V6" s="24"/>
      <c r="W6" s="24"/>
      <c r="X6" s="24"/>
      <c r="Y6" s="24"/>
      <c r="Z6" s="24"/>
    </row>
    <row r="7" spans="1:26">
      <c r="A7" s="76"/>
      <c r="B7" s="76"/>
      <c r="C7" s="76"/>
      <c r="D7" s="76"/>
      <c r="E7" s="76"/>
      <c r="F7" s="76"/>
      <c r="G7" s="76"/>
      <c r="H7" s="76"/>
      <c r="I7" s="76"/>
      <c r="S7" s="70" t="s">
        <v>325</v>
      </c>
      <c r="T7" s="70"/>
      <c r="U7" s="70"/>
      <c r="V7" s="70"/>
      <c r="W7" s="70"/>
      <c r="X7" s="70"/>
      <c r="Y7" s="70"/>
      <c r="Z7" s="70"/>
    </row>
    <row r="8" spans="1:26">
      <c r="A8" s="76"/>
      <c r="B8" s="76"/>
      <c r="C8" s="76"/>
      <c r="D8" s="76"/>
      <c r="E8" s="76"/>
      <c r="F8" s="76"/>
      <c r="G8" s="76"/>
      <c r="H8" s="76"/>
      <c r="I8" s="76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76"/>
      <c r="B9" s="76"/>
      <c r="C9" s="76"/>
      <c r="D9" s="76"/>
      <c r="E9" s="76"/>
      <c r="F9" s="76"/>
      <c r="G9" s="76"/>
      <c r="H9" s="76"/>
      <c r="I9" s="76"/>
      <c r="S9" s="70" t="s">
        <v>0</v>
      </c>
      <c r="T9" s="70"/>
      <c r="U9" s="70"/>
      <c r="V9" s="70"/>
      <c r="W9" s="70"/>
      <c r="X9" s="70"/>
      <c r="Y9" s="70"/>
      <c r="Z9" s="70"/>
    </row>
    <row r="10" spans="1:26" ht="15" customHeight="1">
      <c r="A10" s="61" t="s">
        <v>78</v>
      </c>
      <c r="B10" s="61"/>
      <c r="C10" s="61"/>
      <c r="D10" s="61"/>
      <c r="E10" s="61"/>
      <c r="F10" s="61"/>
      <c r="G10" s="61"/>
      <c r="H10" s="61"/>
      <c r="I10" s="61"/>
    </row>
    <row r="11" spans="1:26">
      <c r="A11" s="61"/>
      <c r="B11" s="61"/>
      <c r="C11" s="61"/>
      <c r="D11" s="61"/>
      <c r="E11" s="61"/>
      <c r="F11" s="61"/>
      <c r="G11" s="61"/>
      <c r="H11" s="61"/>
      <c r="I11" s="61"/>
    </row>
    <row r="12" spans="1:26">
      <c r="A12" s="61"/>
      <c r="B12" s="61"/>
      <c r="C12" s="61"/>
      <c r="D12" s="61"/>
      <c r="E12" s="61"/>
      <c r="F12" s="61"/>
      <c r="G12" s="61"/>
      <c r="H12" s="61"/>
      <c r="I12" s="61"/>
    </row>
    <row r="13" spans="1:26" ht="6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70" t="s">
        <v>182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>
      <c r="A15" s="79" t="s">
        <v>1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5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8" t="s">
        <v>2</v>
      </c>
      <c r="B17" s="71" t="s">
        <v>328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6.75" customHeight="1">
      <c r="A18" s="48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>
      <c r="A19" s="48" t="s">
        <v>3</v>
      </c>
      <c r="B19" s="74" t="s">
        <v>329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6.75" customHeight="1">
      <c r="A20" s="48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>
      <c r="A21" s="34" t="s">
        <v>4</v>
      </c>
      <c r="B21" s="74" t="s">
        <v>330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6.75" customHeight="1">
      <c r="A22" s="34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26.25" customHeight="1">
      <c r="A23" s="34" t="s">
        <v>5</v>
      </c>
      <c r="B23" s="73" t="s">
        <v>331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5.25" customHeight="1">
      <c r="A24" s="35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27" customHeight="1">
      <c r="A25" s="35" t="s">
        <v>6</v>
      </c>
      <c r="B25" s="67" t="s">
        <v>332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6.75" customHeight="1">
      <c r="A26" s="3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>
      <c r="A27" s="35" t="s">
        <v>7</v>
      </c>
      <c r="B27" s="74" t="s">
        <v>333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6.75" customHeight="1">
      <c r="A28" s="35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>
      <c r="A29" s="35" t="s">
        <v>8</v>
      </c>
      <c r="B29" s="72" t="s">
        <v>334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6.75" customHeight="1">
      <c r="A30" s="3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3.75" customHeight="1">
      <c r="A31" s="35" t="s">
        <v>9</v>
      </c>
      <c r="B31" s="67" t="s">
        <v>337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6.75" customHeight="1">
      <c r="A32" s="4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5" t="s">
        <v>10</v>
      </c>
      <c r="B33" s="3" t="s">
        <v>335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6">
      <c r="A34" s="3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6">
      <c r="A35" s="3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6">
      <c r="A36" s="3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6">
      <c r="A37" s="3" t="s">
        <v>90</v>
      </c>
      <c r="B37" s="3" t="s">
        <v>12</v>
      </c>
    </row>
    <row r="38" spans="1:26" ht="7.5" customHeight="1"/>
    <row r="39" spans="1:26" ht="36.75" customHeight="1">
      <c r="A39" s="59" t="s">
        <v>13</v>
      </c>
      <c r="B39" s="59"/>
      <c r="C39" s="59"/>
      <c r="D39" s="59"/>
      <c r="E39" s="59" t="s">
        <v>14</v>
      </c>
      <c r="F39" s="59"/>
      <c r="G39" s="59"/>
      <c r="H39" s="59"/>
      <c r="I39" s="59"/>
      <c r="J39" s="59"/>
      <c r="K39" s="59" t="s">
        <v>15</v>
      </c>
      <c r="L39" s="59"/>
      <c r="M39" s="59"/>
      <c r="N39" s="59" t="s">
        <v>16</v>
      </c>
      <c r="O39" s="59"/>
      <c r="P39" s="59"/>
      <c r="Q39" s="59"/>
      <c r="R39" s="59"/>
      <c r="S39" s="59"/>
      <c r="T39" s="59"/>
      <c r="U39" s="59" t="s">
        <v>17</v>
      </c>
      <c r="V39" s="59"/>
      <c r="W39" s="59"/>
      <c r="X39" s="59"/>
      <c r="Y39" s="59"/>
      <c r="Z39" s="59"/>
    </row>
    <row r="40" spans="1:26" ht="102.75" customHeight="1">
      <c r="A40" s="68" t="s">
        <v>18</v>
      </c>
      <c r="B40" s="68"/>
      <c r="C40" s="68"/>
      <c r="D40" s="68"/>
      <c r="E40" s="68" t="s">
        <v>19</v>
      </c>
      <c r="F40" s="68"/>
      <c r="G40" s="68"/>
      <c r="H40" s="68"/>
      <c r="I40" s="68"/>
      <c r="J40" s="68"/>
      <c r="K40" s="68">
        <v>462667</v>
      </c>
      <c r="L40" s="68"/>
      <c r="M40" s="68"/>
      <c r="N40" s="68" t="s">
        <v>20</v>
      </c>
      <c r="O40" s="68"/>
      <c r="P40" s="68"/>
      <c r="Q40" s="68"/>
      <c r="R40" s="68"/>
      <c r="S40" s="68"/>
      <c r="T40" s="68"/>
      <c r="U40" s="68" t="s">
        <v>166</v>
      </c>
      <c r="V40" s="68"/>
      <c r="W40" s="68"/>
      <c r="X40" s="68"/>
      <c r="Y40" s="68"/>
      <c r="Z40" s="68"/>
    </row>
    <row r="41" spans="1:26" ht="24.75" customHeight="1">
      <c r="A41" s="68" t="s">
        <v>25</v>
      </c>
      <c r="B41" s="68"/>
      <c r="C41" s="68"/>
      <c r="D41" s="68"/>
      <c r="E41" s="68" t="s">
        <v>28</v>
      </c>
      <c r="F41" s="68"/>
      <c r="G41" s="68"/>
      <c r="H41" s="68"/>
      <c r="I41" s="68"/>
      <c r="J41" s="68"/>
      <c r="K41" s="68">
        <v>569521</v>
      </c>
      <c r="L41" s="68"/>
      <c r="M41" s="68"/>
      <c r="N41" s="68" t="s">
        <v>29</v>
      </c>
      <c r="O41" s="68"/>
      <c r="P41" s="68"/>
      <c r="Q41" s="68"/>
      <c r="R41" s="68"/>
      <c r="S41" s="68"/>
      <c r="T41" s="68"/>
      <c r="U41" s="68" t="s">
        <v>338</v>
      </c>
      <c r="V41" s="68"/>
      <c r="W41" s="68"/>
      <c r="X41" s="68"/>
      <c r="Y41" s="68"/>
      <c r="Z41" s="68"/>
    </row>
    <row r="42" spans="1:26" ht="22.5" customHeight="1">
      <c r="A42" s="68" t="s">
        <v>24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 t="s">
        <v>30</v>
      </c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47.25" customHeight="1">
      <c r="A43" s="68" t="s">
        <v>26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80" t="s">
        <v>148</v>
      </c>
      <c r="O43" s="80"/>
      <c r="P43" s="80"/>
      <c r="Q43" s="80"/>
      <c r="R43" s="80"/>
      <c r="S43" s="80"/>
      <c r="T43" s="80"/>
      <c r="U43" s="68"/>
      <c r="V43" s="68"/>
      <c r="W43" s="68"/>
      <c r="X43" s="68"/>
      <c r="Y43" s="68"/>
      <c r="Z43" s="68"/>
    </row>
    <row r="44" spans="1:26" ht="27.75" customHeight="1">
      <c r="A44" s="68" t="s">
        <v>27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 t="s">
        <v>31</v>
      </c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36" customHeight="1">
      <c r="A45" s="68" t="s">
        <v>113</v>
      </c>
      <c r="B45" s="68"/>
      <c r="C45" s="68"/>
      <c r="D45" s="68"/>
      <c r="E45" s="68" t="s">
        <v>114</v>
      </c>
      <c r="F45" s="68"/>
      <c r="G45" s="68"/>
      <c r="H45" s="68"/>
      <c r="I45" s="68"/>
      <c r="J45" s="68"/>
      <c r="K45" s="68">
        <v>631</v>
      </c>
      <c r="L45" s="68"/>
      <c r="M45" s="68"/>
      <c r="N45" s="68" t="s">
        <v>115</v>
      </c>
      <c r="O45" s="68"/>
      <c r="P45" s="68"/>
      <c r="Q45" s="68"/>
      <c r="R45" s="68"/>
      <c r="S45" s="68"/>
      <c r="T45" s="68"/>
      <c r="U45" s="68" t="s">
        <v>183</v>
      </c>
      <c r="V45" s="68"/>
      <c r="W45" s="68"/>
      <c r="X45" s="68"/>
      <c r="Y45" s="68"/>
      <c r="Z45" s="68"/>
    </row>
    <row r="46" spans="1:26" ht="25.5" customHeight="1">
      <c r="A46" s="68" t="s">
        <v>32</v>
      </c>
      <c r="B46" s="68"/>
      <c r="C46" s="68"/>
      <c r="D46" s="68"/>
      <c r="E46" s="68" t="s">
        <v>21</v>
      </c>
      <c r="F46" s="68"/>
      <c r="G46" s="68"/>
      <c r="H46" s="68"/>
      <c r="I46" s="68"/>
      <c r="J46" s="68"/>
      <c r="K46" s="68" t="s">
        <v>22</v>
      </c>
      <c r="L46" s="68"/>
      <c r="M46" s="68"/>
      <c r="N46" s="68" t="s">
        <v>23</v>
      </c>
      <c r="O46" s="68"/>
      <c r="P46" s="68"/>
      <c r="Q46" s="68"/>
      <c r="R46" s="68"/>
      <c r="S46" s="68"/>
      <c r="T46" s="68"/>
      <c r="U46" s="68" t="s">
        <v>184</v>
      </c>
      <c r="V46" s="68"/>
      <c r="W46" s="68"/>
      <c r="X46" s="68"/>
      <c r="Y46" s="68"/>
      <c r="Z46" s="68"/>
    </row>
    <row r="47" spans="1:26" ht="33.75" customHeight="1">
      <c r="A47" s="68" t="s">
        <v>32</v>
      </c>
      <c r="B47" s="68"/>
      <c r="C47" s="68"/>
      <c r="D47" s="68"/>
      <c r="E47" s="68" t="s">
        <v>33</v>
      </c>
      <c r="F47" s="68"/>
      <c r="G47" s="68"/>
      <c r="H47" s="68"/>
      <c r="I47" s="68"/>
      <c r="J47" s="68"/>
      <c r="K47" s="69" t="s">
        <v>181</v>
      </c>
      <c r="L47" s="69"/>
      <c r="M47" s="69"/>
      <c r="N47" s="68" t="s">
        <v>34</v>
      </c>
      <c r="O47" s="68"/>
      <c r="P47" s="68"/>
      <c r="Q47" s="68"/>
      <c r="R47" s="68"/>
      <c r="S47" s="68"/>
      <c r="T47" s="68"/>
      <c r="U47" s="68" t="s">
        <v>185</v>
      </c>
      <c r="V47" s="68"/>
      <c r="W47" s="68"/>
      <c r="X47" s="68"/>
      <c r="Y47" s="68"/>
      <c r="Z47" s="68"/>
    </row>
    <row r="48" spans="1:26" ht="39" customHeight="1">
      <c r="A48" s="68" t="s">
        <v>35</v>
      </c>
      <c r="B48" s="68"/>
      <c r="C48" s="68"/>
      <c r="D48" s="68"/>
      <c r="E48" s="68" t="s">
        <v>37</v>
      </c>
      <c r="F48" s="68"/>
      <c r="G48" s="68"/>
      <c r="H48" s="68"/>
      <c r="I48" s="68"/>
      <c r="J48" s="68"/>
      <c r="K48" s="69" t="s">
        <v>38</v>
      </c>
      <c r="L48" s="69"/>
      <c r="M48" s="69"/>
      <c r="N48" s="68" t="s">
        <v>147</v>
      </c>
      <c r="O48" s="68"/>
      <c r="P48" s="68"/>
      <c r="Q48" s="68"/>
      <c r="R48" s="68"/>
      <c r="S48" s="68"/>
      <c r="T48" s="68"/>
      <c r="U48" s="68" t="s">
        <v>186</v>
      </c>
      <c r="V48" s="68"/>
      <c r="W48" s="68"/>
      <c r="X48" s="68"/>
      <c r="Y48" s="68"/>
      <c r="Z48" s="68"/>
    </row>
    <row r="49" spans="1:26" ht="50.25" customHeight="1">
      <c r="A49" s="68" t="s">
        <v>36</v>
      </c>
      <c r="B49" s="68"/>
      <c r="C49" s="68"/>
      <c r="D49" s="68"/>
      <c r="E49" s="68"/>
      <c r="F49" s="68"/>
      <c r="G49" s="68"/>
      <c r="H49" s="68"/>
      <c r="I49" s="68"/>
      <c r="J49" s="68"/>
      <c r="K49" s="69"/>
      <c r="L49" s="69"/>
      <c r="M49" s="69"/>
      <c r="N49" s="68" t="s">
        <v>39</v>
      </c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36.75" customHeight="1">
      <c r="A50" s="59" t="s">
        <v>13</v>
      </c>
      <c r="B50" s="59"/>
      <c r="C50" s="59"/>
      <c r="D50" s="59"/>
      <c r="E50" s="59" t="s">
        <v>14</v>
      </c>
      <c r="F50" s="59"/>
      <c r="G50" s="59"/>
      <c r="H50" s="59"/>
      <c r="I50" s="59"/>
      <c r="J50" s="59"/>
      <c r="K50" s="59" t="s">
        <v>15</v>
      </c>
      <c r="L50" s="59"/>
      <c r="M50" s="59"/>
      <c r="N50" s="59" t="s">
        <v>16</v>
      </c>
      <c r="O50" s="59"/>
      <c r="P50" s="59"/>
      <c r="Q50" s="59"/>
      <c r="R50" s="59"/>
      <c r="S50" s="59"/>
      <c r="T50" s="59"/>
      <c r="U50" s="59" t="s">
        <v>17</v>
      </c>
      <c r="V50" s="59"/>
      <c r="W50" s="59"/>
      <c r="X50" s="59"/>
      <c r="Y50" s="59"/>
      <c r="Z50" s="59"/>
    </row>
    <row r="51" spans="1:26" ht="81.75" customHeight="1">
      <c r="A51" s="68" t="s">
        <v>116</v>
      </c>
      <c r="B51" s="68"/>
      <c r="C51" s="68"/>
      <c r="D51" s="68"/>
      <c r="E51" s="68" t="s">
        <v>117</v>
      </c>
      <c r="F51" s="68"/>
      <c r="G51" s="68"/>
      <c r="H51" s="68"/>
      <c r="I51" s="68"/>
      <c r="J51" s="68"/>
      <c r="K51" s="69" t="s">
        <v>118</v>
      </c>
      <c r="L51" s="69"/>
      <c r="M51" s="69"/>
      <c r="N51" s="68" t="s">
        <v>146</v>
      </c>
      <c r="O51" s="68"/>
      <c r="P51" s="68"/>
      <c r="Q51" s="68"/>
      <c r="R51" s="68"/>
      <c r="S51" s="68"/>
      <c r="T51" s="68"/>
      <c r="U51" s="68" t="s">
        <v>187</v>
      </c>
      <c r="V51" s="68"/>
      <c r="W51" s="68"/>
      <c r="X51" s="68"/>
      <c r="Y51" s="68"/>
      <c r="Z51" s="68"/>
    </row>
    <row r="52" spans="1:26" ht="76.5" customHeight="1">
      <c r="A52" s="68" t="s">
        <v>42</v>
      </c>
      <c r="B52" s="68"/>
      <c r="C52" s="68"/>
      <c r="D52" s="68"/>
      <c r="E52" s="68" t="s">
        <v>43</v>
      </c>
      <c r="F52" s="68"/>
      <c r="G52" s="68"/>
      <c r="H52" s="68"/>
      <c r="I52" s="68"/>
      <c r="J52" s="68"/>
      <c r="K52" s="69" t="s">
        <v>86</v>
      </c>
      <c r="L52" s="69"/>
      <c r="M52" s="69"/>
      <c r="N52" s="68" t="s">
        <v>145</v>
      </c>
      <c r="O52" s="68"/>
      <c r="P52" s="68"/>
      <c r="Q52" s="68"/>
      <c r="R52" s="68"/>
      <c r="S52" s="68"/>
      <c r="T52" s="68"/>
      <c r="U52" s="68" t="s">
        <v>188</v>
      </c>
      <c r="V52" s="68"/>
      <c r="W52" s="68"/>
      <c r="X52" s="68"/>
      <c r="Y52" s="68"/>
      <c r="Z52" s="68"/>
    </row>
    <row r="53" spans="1:26">
      <c r="A53" s="81"/>
      <c r="B53" s="81"/>
      <c r="C53" s="81"/>
      <c r="D53" s="81"/>
    </row>
    <row r="54" spans="1:26" s="3" customFormat="1" ht="12.75">
      <c r="A54" s="3" t="s">
        <v>11</v>
      </c>
      <c r="B54" s="3" t="s">
        <v>40</v>
      </c>
    </row>
    <row r="55" spans="1:26" s="3" customFormat="1" ht="7.5" customHeight="1"/>
    <row r="56" spans="1:26" s="3" customFormat="1" ht="47.25" customHeight="1">
      <c r="A56" s="59" t="s">
        <v>13</v>
      </c>
      <c r="B56" s="59"/>
      <c r="C56" s="59"/>
      <c r="D56" s="59"/>
      <c r="E56" s="59"/>
      <c r="F56" s="59" t="s">
        <v>93</v>
      </c>
      <c r="G56" s="59"/>
      <c r="H56" s="59"/>
      <c r="I56" s="59"/>
      <c r="J56" s="59"/>
      <c r="K56" s="59"/>
      <c r="L56" s="59"/>
      <c r="M56" s="59"/>
      <c r="N56" s="59"/>
      <c r="O56" s="59"/>
      <c r="P56" s="59" t="s">
        <v>340</v>
      </c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s="3" customFormat="1" ht="93.75" customHeight="1">
      <c r="A57" s="59" t="s">
        <v>336</v>
      </c>
      <c r="B57" s="59"/>
      <c r="C57" s="59"/>
      <c r="D57" s="59"/>
      <c r="E57" s="59"/>
      <c r="F57" s="59" t="s">
        <v>44</v>
      </c>
      <c r="G57" s="59"/>
      <c r="H57" s="59"/>
      <c r="I57" s="59"/>
      <c r="J57" s="59"/>
      <c r="K57" s="59"/>
      <c r="L57" s="59"/>
      <c r="M57" s="59"/>
      <c r="N57" s="59"/>
      <c r="O57" s="59"/>
      <c r="P57" s="59" t="s">
        <v>326</v>
      </c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s="3" customFormat="1" ht="102.75" customHeight="1">
      <c r="A58" s="59" t="s">
        <v>45</v>
      </c>
      <c r="B58" s="59"/>
      <c r="C58" s="59"/>
      <c r="D58" s="59"/>
      <c r="E58" s="59"/>
      <c r="F58" s="59" t="s">
        <v>44</v>
      </c>
      <c r="G58" s="59"/>
      <c r="H58" s="59"/>
      <c r="I58" s="59"/>
      <c r="J58" s="59"/>
      <c r="K58" s="59"/>
      <c r="L58" s="59"/>
      <c r="M58" s="59"/>
      <c r="N58" s="59"/>
      <c r="O58" s="59"/>
      <c r="P58" s="59" t="s">
        <v>326</v>
      </c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s="3" customFormat="1" ht="16.5" customHeight="1"/>
    <row r="60" spans="1:26" s="3" customFormat="1" ht="1.5" customHeight="1"/>
    <row r="61" spans="1:26" s="3" customFormat="1" ht="15" customHeight="1">
      <c r="A61" s="4" t="s">
        <v>41</v>
      </c>
      <c r="B61" s="73" t="s">
        <v>322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s="3" customFormat="1" ht="15" customHeight="1">
      <c r="A62" s="4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s="3" customFormat="1" ht="67.5" customHeight="1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s="3" customFormat="1" ht="12.75">
      <c r="B64" s="82" t="s">
        <v>189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33" s="3" customFormat="1" ht="12.75"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33" s="3" customFormat="1" ht="17.25" customHeight="1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33" s="3" customFormat="1" ht="12.75">
      <c r="A67" s="3" t="s">
        <v>91</v>
      </c>
      <c r="B67" s="3" t="s">
        <v>79</v>
      </c>
    </row>
    <row r="68" spans="1:233" s="3" customFormat="1" ht="12.75"/>
    <row r="69" spans="1:233" s="3" customFormat="1" ht="12.75">
      <c r="A69" s="3" t="s">
        <v>46</v>
      </c>
      <c r="B69" s="3" t="s">
        <v>47</v>
      </c>
    </row>
    <row r="70" spans="1:233" s="3" customFormat="1" ht="12.75"/>
    <row r="71" spans="1:233" s="3" customFormat="1" ht="12.75">
      <c r="U71" s="3" t="s">
        <v>95</v>
      </c>
    </row>
    <row r="72" spans="1:233">
      <c r="W72" s="44"/>
      <c r="X72" s="44"/>
      <c r="Y72" s="44"/>
      <c r="Z72" s="44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</row>
    <row r="73" spans="1:233">
      <c r="W73" s="44"/>
      <c r="X73" s="44"/>
      <c r="Y73" s="44"/>
      <c r="Z73" s="44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</row>
    <row r="74" spans="1:233">
      <c r="U74" s="3" t="s">
        <v>82</v>
      </c>
      <c r="W74" s="44"/>
      <c r="X74" s="44"/>
      <c r="Y74" s="44"/>
      <c r="Z74" s="44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</row>
    <row r="75" spans="1:233">
      <c r="W75" s="44"/>
      <c r="X75" s="44"/>
      <c r="Y75" s="44"/>
      <c r="Z75" s="44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</row>
    <row r="76" spans="1:233">
      <c r="W76" s="44"/>
      <c r="X76" s="44"/>
      <c r="Y76" s="44"/>
      <c r="Z76" s="44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</row>
    <row r="77" spans="1:233">
      <c r="W77" s="44"/>
      <c r="X77" s="44"/>
      <c r="Y77" s="44"/>
      <c r="Z77" s="44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</row>
    <row r="78" spans="1:233" ht="15" customHeight="1">
      <c r="U78" s="67" t="s">
        <v>81</v>
      </c>
      <c r="V78" s="67"/>
      <c r="W78" s="67"/>
      <c r="X78" s="67"/>
      <c r="Y78" s="67"/>
      <c r="Z78" s="6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</row>
    <row r="79" spans="1:233">
      <c r="U79" s="67"/>
      <c r="V79" s="67"/>
      <c r="W79" s="67"/>
      <c r="X79" s="67"/>
      <c r="Y79" s="67"/>
      <c r="Z79" s="6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</row>
    <row r="80" spans="1:233">
      <c r="U80" s="67"/>
      <c r="V80" s="67"/>
      <c r="W80" s="67"/>
      <c r="X80" s="67"/>
      <c r="Y80" s="67"/>
      <c r="Z80" s="6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</row>
    <row r="81" spans="21:233">
      <c r="W81" s="44"/>
      <c r="X81" s="44"/>
      <c r="Y81" s="44"/>
      <c r="Z81" s="44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</row>
    <row r="82" spans="21:233">
      <c r="W82" s="44"/>
      <c r="X82" s="44"/>
      <c r="Y82" s="44"/>
      <c r="Z82" s="44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</row>
    <row r="83" spans="21:233" ht="15" customHeight="1">
      <c r="U83" s="67" t="s">
        <v>80</v>
      </c>
      <c r="V83" s="67"/>
      <c r="W83" s="67"/>
      <c r="X83" s="67"/>
      <c r="Y83" s="67"/>
      <c r="Z83" s="6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</row>
    <row r="84" spans="21:233">
      <c r="U84" s="67"/>
      <c r="V84" s="67"/>
      <c r="W84" s="67"/>
      <c r="X84" s="67"/>
      <c r="Y84" s="67"/>
      <c r="Z84" s="6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</row>
    <row r="85" spans="21:233">
      <c r="W85" s="44"/>
      <c r="X85" s="44"/>
      <c r="Y85" s="44"/>
      <c r="Z85" s="44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</row>
    <row r="86" spans="21:233">
      <c r="W86" s="44"/>
      <c r="X86" s="44"/>
      <c r="Y86" s="44"/>
      <c r="Z86" s="44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</row>
    <row r="87" spans="21:233" ht="15" customHeight="1">
      <c r="U87" s="67" t="s">
        <v>119</v>
      </c>
      <c r="V87" s="67"/>
      <c r="W87" s="67"/>
      <c r="X87" s="67"/>
      <c r="Y87" s="67"/>
      <c r="Z87" s="6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</row>
    <row r="88" spans="21:233">
      <c r="U88" s="67"/>
      <c r="V88" s="67"/>
      <c r="W88" s="67"/>
      <c r="X88" s="67"/>
      <c r="Y88" s="67"/>
      <c r="Z88" s="6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</row>
    <row r="89" spans="21:233">
      <c r="U89" s="67"/>
      <c r="V89" s="67"/>
      <c r="W89" s="67"/>
      <c r="X89" s="67"/>
      <c r="Y89" s="67"/>
      <c r="Z89" s="6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</row>
    <row r="90" spans="21:233"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</row>
    <row r="91" spans="21:233"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</row>
    <row r="92" spans="21:233"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</row>
    <row r="93" spans="21:233"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</row>
    <row r="94" spans="21:233"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</row>
    <row r="95" spans="21:233"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</row>
    <row r="96" spans="21:233"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</row>
    <row r="97" spans="28:233"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</row>
    <row r="98" spans="28:233"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</row>
    <row r="99" spans="28:233"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</row>
    <row r="100" spans="28:233"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</row>
    <row r="101" spans="28:233"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</row>
    <row r="102" spans="28:233"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</row>
    <row r="103" spans="28:233"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</row>
    <row r="104" spans="28:233"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</row>
    <row r="105" spans="28:233"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</row>
    <row r="106" spans="28:233"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</row>
    <row r="107" spans="28:233"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</row>
    <row r="108" spans="28:233"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</row>
    <row r="109" spans="28:233"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</row>
    <row r="110" spans="28:233"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</row>
    <row r="111" spans="28:233"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</row>
    <row r="112" spans="28:233"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</row>
    <row r="113" spans="28:233"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</row>
    <row r="114" spans="28:233"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</row>
    <row r="115" spans="28:233"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</row>
    <row r="116" spans="28:233"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</row>
    <row r="117" spans="28:233"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</row>
    <row r="118" spans="28:233"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</row>
    <row r="119" spans="28:233"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</row>
    <row r="120" spans="28:233"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</row>
    <row r="121" spans="28:233"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</row>
    <row r="122" spans="28:233"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</row>
    <row r="123" spans="28:233"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</row>
    <row r="124" spans="28:233"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</row>
    <row r="125" spans="28:233"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</row>
    <row r="126" spans="28:233"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</row>
    <row r="127" spans="28:233"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</row>
    <row r="128" spans="28:233"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</row>
    <row r="129" spans="28:233"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</row>
    <row r="130" spans="28:233"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</row>
    <row r="131" spans="28:233"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</row>
    <row r="132" spans="28:233"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</row>
    <row r="133" spans="28:233"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</row>
    <row r="134" spans="28:233"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</row>
    <row r="135" spans="28:233"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</row>
    <row r="136" spans="28:233"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</row>
    <row r="137" spans="28:233"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</row>
    <row r="138" spans="28:233"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</row>
    <row r="139" spans="28:233"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</row>
    <row r="140" spans="28:233"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</row>
    <row r="141" spans="28:233"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</row>
    <row r="142" spans="28:233"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</row>
    <row r="143" spans="28:233"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</row>
    <row r="144" spans="28:233"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</row>
    <row r="145" spans="28:233"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</row>
    <row r="146" spans="28:233"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</row>
    <row r="147" spans="28:233"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</row>
    <row r="148" spans="28:233"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</row>
    <row r="149" spans="28:233"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</row>
    <row r="150" spans="28:233"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</row>
    <row r="151" spans="28:233"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</row>
    <row r="152" spans="28:233"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</row>
    <row r="153" spans="28:233"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</row>
    <row r="154" spans="28:233"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</row>
    <row r="155" spans="28:233"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</row>
    <row r="156" spans="28:233"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</row>
    <row r="157" spans="28:233"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</row>
    <row r="158" spans="28:233"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</row>
    <row r="159" spans="28:233"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</row>
    <row r="160" spans="28:233"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</row>
    <row r="161" spans="28:233"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</row>
    <row r="162" spans="28:233"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</row>
    <row r="163" spans="28:233"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</row>
    <row r="164" spans="28:233"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</row>
    <row r="165" spans="28:233"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</row>
    <row r="166" spans="28:233"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</row>
    <row r="167" spans="28:233"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</row>
    <row r="168" spans="28:233"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</row>
    <row r="169" spans="28:233"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</row>
    <row r="170" spans="28:233"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</row>
    <row r="171" spans="28:233"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</row>
    <row r="172" spans="28:233"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</row>
    <row r="173" spans="28:233"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</row>
    <row r="174" spans="28:233"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</row>
    <row r="175" spans="28:233"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</row>
    <row r="176" spans="28:233"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</row>
    <row r="177" spans="28:233"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</row>
    <row r="178" spans="28:233"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</row>
    <row r="179" spans="28:233"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</row>
    <row r="180" spans="28:233"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</row>
    <row r="181" spans="28:233"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</row>
    <row r="182" spans="28:233"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</row>
    <row r="183" spans="28:233"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</row>
    <row r="184" spans="28:233"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</row>
    <row r="185" spans="28:233"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</row>
    <row r="186" spans="28:233"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</row>
    <row r="187" spans="28:233"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</row>
    <row r="188" spans="28:233"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</row>
    <row r="189" spans="28:233"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</row>
    <row r="190" spans="28:233"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</row>
    <row r="191" spans="28:233"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</row>
    <row r="192" spans="28:233"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</row>
    <row r="193" spans="28:233"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</row>
    <row r="194" spans="28:233"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</row>
    <row r="195" spans="28:233"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</row>
    <row r="196" spans="28:233"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</row>
    <row r="197" spans="28:233"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</row>
    <row r="198" spans="28:233"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</row>
    <row r="199" spans="28:233"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</row>
    <row r="200" spans="28:233"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</row>
    <row r="201" spans="28:233"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</row>
    <row r="202" spans="28:233"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</row>
    <row r="203" spans="28:233"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</row>
    <row r="204" spans="28:233"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</row>
    <row r="205" spans="28:233"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</row>
    <row r="206" spans="28:233"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</row>
    <row r="207" spans="28:233"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</row>
    <row r="208" spans="28:233"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</row>
    <row r="209" spans="28:233"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</row>
    <row r="210" spans="28:233"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</row>
    <row r="211" spans="28:233"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</row>
    <row r="212" spans="28:233"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</row>
    <row r="213" spans="28:233"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</row>
    <row r="214" spans="28:233"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</row>
    <row r="215" spans="28:233"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</row>
    <row r="216" spans="28:233"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</row>
    <row r="217" spans="28:233"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</row>
    <row r="218" spans="28:233"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</row>
    <row r="219" spans="28:233"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</row>
    <row r="220" spans="28:233"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</row>
    <row r="221" spans="28:233"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</row>
    <row r="222" spans="28:233"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</row>
    <row r="223" spans="28:233"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</row>
    <row r="224" spans="28:233"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</row>
    <row r="225" spans="28:233"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</row>
    <row r="226" spans="28:233"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</row>
    <row r="227" spans="28:233"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</row>
    <row r="228" spans="28:233"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</row>
    <row r="229" spans="28:233"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</row>
    <row r="230" spans="28:233"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</row>
    <row r="231" spans="28:233"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</row>
    <row r="232" spans="28:233"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</row>
    <row r="233" spans="28:233"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</row>
    <row r="234" spans="28:233"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</row>
    <row r="235" spans="28:233"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</row>
    <row r="236" spans="28:233"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</row>
    <row r="237" spans="28:233"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</row>
    <row r="238" spans="28:233"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</row>
    <row r="239" spans="28:233"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</row>
    <row r="240" spans="28:233"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</row>
    <row r="241" spans="28:233"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</row>
    <row r="242" spans="28:233"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</row>
    <row r="243" spans="28:233"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</row>
    <row r="244" spans="28:233"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</row>
    <row r="245" spans="28:233"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</row>
    <row r="246" spans="28:233"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</row>
    <row r="247" spans="28:233"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</row>
    <row r="248" spans="28:233"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</row>
    <row r="249" spans="28:233"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</row>
    <row r="250" spans="28:233"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</row>
    <row r="251" spans="28:233"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</row>
    <row r="252" spans="28:233"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</row>
    <row r="253" spans="28:233"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</row>
    <row r="254" spans="28:233"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</row>
    <row r="255" spans="28:233"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</row>
    <row r="256" spans="28:233"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</row>
    <row r="257" spans="28:233"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</row>
    <row r="258" spans="28:233"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</row>
    <row r="259" spans="28:233"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</row>
    <row r="260" spans="28:233"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</row>
    <row r="261" spans="28:233"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</row>
    <row r="262" spans="28:233"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</row>
    <row r="263" spans="28:233"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</row>
    <row r="264" spans="28:233"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</row>
    <row r="265" spans="28:233"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</row>
    <row r="266" spans="28:233"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</row>
    <row r="267" spans="28:233"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</row>
    <row r="268" spans="28:233"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</row>
    <row r="269" spans="28:233"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</row>
    <row r="270" spans="28:233"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</row>
    <row r="271" spans="28:233"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</row>
    <row r="272" spans="28:233"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</row>
    <row r="273" spans="28:233"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</row>
    <row r="274" spans="28:233"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</row>
    <row r="275" spans="28:233"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</row>
    <row r="276" spans="28:233"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</row>
    <row r="277" spans="28:233"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</row>
    <row r="278" spans="28:233"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</row>
    <row r="279" spans="28:233"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</row>
    <row r="280" spans="28:233"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</row>
    <row r="281" spans="28:233"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</row>
    <row r="282" spans="28:233"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</row>
    <row r="283" spans="28:233"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</row>
    <row r="284" spans="28:233"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</row>
    <row r="285" spans="28:233"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</row>
    <row r="286" spans="28:233"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</row>
    <row r="287" spans="28:233"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</row>
    <row r="288" spans="28:233"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</row>
    <row r="289" spans="28:233"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</row>
    <row r="290" spans="28:233"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</row>
    <row r="291" spans="28:233"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</row>
    <row r="292" spans="28:233"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</row>
    <row r="293" spans="28:233"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</row>
    <row r="294" spans="28:233"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</row>
    <row r="295" spans="28:233"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</row>
    <row r="296" spans="28:233"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</row>
    <row r="297" spans="28:233"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</row>
    <row r="298" spans="28:233"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</row>
  </sheetData>
  <mergeCells count="91">
    <mergeCell ref="B61:Z63"/>
    <mergeCell ref="B64:Z66"/>
    <mergeCell ref="U87:Z89"/>
    <mergeCell ref="U78:Z80"/>
    <mergeCell ref="U83:Z84"/>
    <mergeCell ref="U50:Z50"/>
    <mergeCell ref="A52:D52"/>
    <mergeCell ref="E52:J52"/>
    <mergeCell ref="K52:M52"/>
    <mergeCell ref="A50:D50"/>
    <mergeCell ref="A51:D51"/>
    <mergeCell ref="A58:E58"/>
    <mergeCell ref="F58:O58"/>
    <mergeCell ref="P58:Z58"/>
    <mergeCell ref="U51:Z51"/>
    <mergeCell ref="N52:T52"/>
    <mergeCell ref="U52:Z52"/>
    <mergeCell ref="A53:D53"/>
    <mergeCell ref="F56:O56"/>
    <mergeCell ref="P56:Z56"/>
    <mergeCell ref="A56:E56"/>
    <mergeCell ref="A57:E57"/>
    <mergeCell ref="F57:O57"/>
    <mergeCell ref="P57:Z57"/>
    <mergeCell ref="E51:J51"/>
    <mergeCell ref="K51:M51"/>
    <mergeCell ref="A48:D48"/>
    <mergeCell ref="N48:T48"/>
    <mergeCell ref="A49:D49"/>
    <mergeCell ref="N51:T51"/>
    <mergeCell ref="E50:J50"/>
    <mergeCell ref="K50:M50"/>
    <mergeCell ref="N50:T50"/>
    <mergeCell ref="U48:Z49"/>
    <mergeCell ref="E46:J46"/>
    <mergeCell ref="K46:M46"/>
    <mergeCell ref="N46:T46"/>
    <mergeCell ref="U46:Z46"/>
    <mergeCell ref="E48:J49"/>
    <mergeCell ref="K48:M49"/>
    <mergeCell ref="N49:T49"/>
    <mergeCell ref="N47:T47"/>
    <mergeCell ref="U47:Z47"/>
    <mergeCell ref="U45:Z45"/>
    <mergeCell ref="N42:T42"/>
    <mergeCell ref="A45:D45"/>
    <mergeCell ref="E45:J45"/>
    <mergeCell ref="K45:M45"/>
    <mergeCell ref="A40:D40"/>
    <mergeCell ref="E41:J44"/>
    <mergeCell ref="K41:M44"/>
    <mergeCell ref="A44:D44"/>
    <mergeCell ref="A15:Z15"/>
    <mergeCell ref="B27:Z27"/>
    <mergeCell ref="U41:Z44"/>
    <mergeCell ref="A42:D42"/>
    <mergeCell ref="N43:T43"/>
    <mergeCell ref="A41:D41"/>
    <mergeCell ref="N41:T41"/>
    <mergeCell ref="A43:D43"/>
    <mergeCell ref="B31:Z31"/>
    <mergeCell ref="A1:I3"/>
    <mergeCell ref="A4:I5"/>
    <mergeCell ref="A6:I9"/>
    <mergeCell ref="A10:I12"/>
    <mergeCell ref="S1:Z3"/>
    <mergeCell ref="S5:Z5"/>
    <mergeCell ref="S7:Z7"/>
    <mergeCell ref="S9:Z9"/>
    <mergeCell ref="A14:Z14"/>
    <mergeCell ref="B17:Z17"/>
    <mergeCell ref="U39:Z39"/>
    <mergeCell ref="E40:J40"/>
    <mergeCell ref="N39:T39"/>
    <mergeCell ref="A39:D39"/>
    <mergeCell ref="E39:J39"/>
    <mergeCell ref="K39:M39"/>
    <mergeCell ref="B29:Z29"/>
    <mergeCell ref="K40:M40"/>
    <mergeCell ref="N40:T40"/>
    <mergeCell ref="U40:Z40"/>
    <mergeCell ref="B23:Z23"/>
    <mergeCell ref="B19:Z19"/>
    <mergeCell ref="B21:Z21"/>
    <mergeCell ref="B25:Z25"/>
    <mergeCell ref="A47:D47"/>
    <mergeCell ref="E47:J47"/>
    <mergeCell ref="K47:M47"/>
    <mergeCell ref="A46:D46"/>
    <mergeCell ref="N44:T44"/>
    <mergeCell ref="N45:T45"/>
  </mergeCells>
  <phoneticPr fontId="6" type="noConversion"/>
  <pageMargins left="0.7" right="0.7" top="0.75" bottom="0.75" header="0.3" footer="0.3"/>
  <pageSetup paperSize="9" orientation="landscape" r:id="rId1"/>
  <headerFooter differentFirst="1">
    <oddFooter>&amp;R&amp;"Arial,обычный"&amp;9&amp;K000000Протокол от 20 марта 2026 г. № 1/02.02.26-1-Р/26
Общее количество страниц &amp;N 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B383"/>
  <sheetViews>
    <sheetView view="pageBreakPreview" topLeftCell="A79" zoomScale="85" zoomScaleNormal="85" zoomScaleSheetLayoutView="85" workbookViewId="0">
      <selection activeCell="B61" sqref="B48:Z79"/>
    </sheetView>
  </sheetViews>
  <sheetFormatPr defaultRowHeight="15"/>
  <cols>
    <col min="1" max="3" width="5" customWidth="1"/>
    <col min="4" max="4" width="2.85546875" customWidth="1"/>
    <col min="5" max="6" width="2.140625" customWidth="1"/>
    <col min="7" max="7" width="1" customWidth="1"/>
    <col min="8" max="8" width="2.140625" customWidth="1"/>
    <col min="9" max="9" width="10" customWidth="1"/>
    <col min="10" max="10" width="50.42578125" customWidth="1"/>
    <col min="11" max="11" width="11.5703125" customWidth="1"/>
    <col min="12" max="12" width="13.140625" customWidth="1"/>
    <col min="13" max="13" width="19.42578125" customWidth="1"/>
    <col min="14" max="14" width="5" customWidth="1"/>
    <col min="15" max="15" width="4.5703125" customWidth="1"/>
    <col min="16" max="16" width="8.5703125" customWidth="1"/>
    <col min="17" max="20" width="4.5703125" customWidth="1"/>
    <col min="21" max="24" width="5.85546875" customWidth="1"/>
    <col min="25" max="61" width="4.5703125" customWidth="1"/>
    <col min="62" max="76" width="7.7109375" bestFit="1" customWidth="1"/>
    <col min="77" max="79" width="7.85546875" bestFit="1" customWidth="1"/>
    <col min="80" max="174" width="4.5703125" customWidth="1"/>
  </cols>
  <sheetData>
    <row r="1" spans="1:262" s="3" customFormat="1" ht="12.75">
      <c r="A1" s="3" t="s">
        <v>48</v>
      </c>
      <c r="B1" s="3" t="s">
        <v>49</v>
      </c>
    </row>
    <row r="2" spans="1:262" s="3" customFormat="1">
      <c r="A2" s="3" t="s">
        <v>92</v>
      </c>
      <c r="B2" s="3" t="s">
        <v>50</v>
      </c>
      <c r="Y2" t="s">
        <v>150</v>
      </c>
      <c r="BJ2" s="3" t="s">
        <v>165</v>
      </c>
    </row>
    <row r="3" spans="1:262" s="3" customFormat="1">
      <c r="Y3" t="s">
        <v>151</v>
      </c>
    </row>
    <row r="4" spans="1:262" s="3" customFormat="1" ht="26.25" customHeight="1">
      <c r="A4" s="59" t="s">
        <v>51</v>
      </c>
      <c r="B4" s="59" t="s">
        <v>52</v>
      </c>
      <c r="C4" s="59"/>
      <c r="D4" s="59"/>
      <c r="E4" s="59"/>
      <c r="F4" s="59"/>
      <c r="G4" s="59"/>
      <c r="H4" s="59"/>
      <c r="I4" s="59" t="s">
        <v>53</v>
      </c>
      <c r="J4" s="94" t="s">
        <v>89</v>
      </c>
      <c r="K4" s="94" t="s">
        <v>161</v>
      </c>
      <c r="L4" s="59" t="s">
        <v>323</v>
      </c>
      <c r="M4" s="59" t="s">
        <v>87</v>
      </c>
      <c r="Y4" t="s">
        <v>152</v>
      </c>
    </row>
    <row r="5" spans="1:262" s="3" customFormat="1" ht="55.5" customHeight="1">
      <c r="A5" s="59"/>
      <c r="B5" s="59"/>
      <c r="C5" s="59"/>
      <c r="D5" s="59"/>
      <c r="E5" s="59"/>
      <c r="F5" s="59"/>
      <c r="G5" s="59"/>
      <c r="H5" s="59"/>
      <c r="I5" s="59"/>
      <c r="J5" s="95"/>
      <c r="K5" s="95"/>
      <c r="L5" s="92"/>
      <c r="M5" s="92"/>
      <c r="Y5" t="s">
        <v>153</v>
      </c>
    </row>
    <row r="6" spans="1:262" s="3" customFormat="1">
      <c r="A6" s="21">
        <v>1</v>
      </c>
      <c r="B6" s="93">
        <v>2</v>
      </c>
      <c r="C6" s="93"/>
      <c r="D6" s="93"/>
      <c r="E6" s="93"/>
      <c r="F6" s="93"/>
      <c r="G6" s="93"/>
      <c r="H6" s="93"/>
      <c r="I6" s="22">
        <v>3</v>
      </c>
      <c r="J6" s="23">
        <v>4</v>
      </c>
      <c r="K6" s="23" t="s">
        <v>88</v>
      </c>
      <c r="L6" s="22">
        <v>6</v>
      </c>
      <c r="M6" s="28">
        <v>7</v>
      </c>
      <c r="O6" s="6"/>
      <c r="P6" s="6"/>
      <c r="Q6" s="6"/>
      <c r="R6" s="6"/>
      <c r="S6" s="6" t="s">
        <v>156</v>
      </c>
      <c r="T6" s="6" t="s">
        <v>155</v>
      </c>
      <c r="U6" s="6" t="s">
        <v>157</v>
      </c>
      <c r="V6" s="6" t="s">
        <v>158</v>
      </c>
      <c r="W6" s="6" t="s">
        <v>159</v>
      </c>
      <c r="X6" s="6" t="s">
        <v>160</v>
      </c>
      <c r="Y6" t="s">
        <v>154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</row>
    <row r="7" spans="1:262" s="3" customFormat="1" ht="37.5" customHeight="1">
      <c r="A7" s="21">
        <v>1</v>
      </c>
      <c r="B7" s="59" t="s">
        <v>54</v>
      </c>
      <c r="C7" s="59"/>
      <c r="D7" s="59"/>
      <c r="E7" s="59"/>
      <c r="F7" s="59"/>
      <c r="G7" s="59"/>
      <c r="H7" s="59"/>
      <c r="I7" s="87">
        <v>46099</v>
      </c>
      <c r="J7" s="26" t="s">
        <v>230</v>
      </c>
      <c r="K7" s="27">
        <f>AVERAGE(Y7:BH7)</f>
        <v>0.14407407407407408</v>
      </c>
      <c r="L7" s="27">
        <f>X7</f>
        <v>7.1964665306341796E-2</v>
      </c>
      <c r="M7" s="83">
        <v>0.3</v>
      </c>
      <c r="O7" s="6"/>
      <c r="P7" s="6">
        <v>20</v>
      </c>
      <c r="Q7" s="6"/>
      <c r="R7" s="6"/>
      <c r="S7" s="46" cm="1">
        <f t="array" ref="S7">SUM((Y7:AY7 - K7)^2)</f>
        <v>2.0651851851851855E-2</v>
      </c>
      <c r="T7" s="46">
        <f>(1/K7) * SQRT(S7 / (27* 26))*100</f>
        <v>3.7646543449198386</v>
      </c>
      <c r="U7" s="6">
        <f>SQRT(BJ7/3)</f>
        <v>24.689516010204176</v>
      </c>
      <c r="V7" s="6">
        <f>SQRT(T7^2+U7^2)</f>
        <v>24.974883846673887</v>
      </c>
      <c r="W7" s="6">
        <f>V7*2</f>
        <v>49.949767693347773</v>
      </c>
      <c r="X7" s="6">
        <f>W7*0.01*K7</f>
        <v>7.1964665306341796E-2</v>
      </c>
      <c r="Y7" s="26">
        <v>0.16</v>
      </c>
      <c r="Z7" s="6">
        <v>0.16</v>
      </c>
      <c r="AA7" s="6">
        <v>0.17</v>
      </c>
      <c r="AB7" s="6">
        <v>0.1</v>
      </c>
      <c r="AC7" s="6">
        <v>0.15</v>
      </c>
      <c r="AD7" s="6">
        <v>0.18</v>
      </c>
      <c r="AE7" s="6">
        <v>0.1</v>
      </c>
      <c r="AF7" s="6">
        <v>0.17</v>
      </c>
      <c r="AG7" s="6">
        <v>0.13</v>
      </c>
      <c r="AH7" s="6">
        <v>0.14000000000000001</v>
      </c>
      <c r="AI7" s="6">
        <v>0.19</v>
      </c>
      <c r="AJ7" s="6">
        <v>0.11</v>
      </c>
      <c r="AK7" s="6">
        <v>0.11</v>
      </c>
      <c r="AL7" s="6">
        <v>0.15</v>
      </c>
      <c r="AM7" s="6">
        <v>0.11</v>
      </c>
      <c r="AN7" s="6">
        <v>0.13</v>
      </c>
      <c r="AO7" s="6">
        <v>0.1</v>
      </c>
      <c r="AP7" s="6">
        <v>0.12</v>
      </c>
      <c r="AQ7" s="6">
        <v>0.14000000000000001</v>
      </c>
      <c r="AR7" s="6">
        <v>0.16</v>
      </c>
      <c r="AS7" s="6">
        <v>0.19</v>
      </c>
      <c r="AT7" s="6">
        <v>0.18</v>
      </c>
      <c r="AU7" s="6">
        <v>0.13</v>
      </c>
      <c r="AV7" s="6">
        <v>0.16</v>
      </c>
      <c r="AW7" s="6">
        <v>0.15</v>
      </c>
      <c r="AX7" s="6">
        <v>0.17</v>
      </c>
      <c r="AY7" s="6">
        <v>0.13</v>
      </c>
      <c r="AZ7" s="6"/>
      <c r="BA7" s="6"/>
      <c r="BB7" s="6"/>
      <c r="BC7" s="6"/>
      <c r="BD7" s="6"/>
      <c r="BE7" s="6"/>
      <c r="BF7" s="6"/>
      <c r="BG7" s="6"/>
      <c r="BH7" s="6"/>
      <c r="BI7" s="6"/>
      <c r="BJ7" s="6">
        <f>(15+4/K7)^2</f>
        <v>1828.7166024543849</v>
      </c>
      <c r="BK7" s="6">
        <f t="shared" ref="BK7:BV7" si="0">(15+4/Z7)^2</f>
        <v>1600</v>
      </c>
      <c r="BL7" s="6">
        <f t="shared" si="0"/>
        <v>1484.5155709342562</v>
      </c>
      <c r="BM7" s="6">
        <f t="shared" si="0"/>
        <v>3025</v>
      </c>
      <c r="BN7" s="6">
        <f t="shared" si="0"/>
        <v>1736.1111111111115</v>
      </c>
      <c r="BO7" s="6">
        <f t="shared" si="0"/>
        <v>1385.4938271604938</v>
      </c>
      <c r="BP7" s="6">
        <f t="shared" si="0"/>
        <v>3025</v>
      </c>
      <c r="BQ7" s="6">
        <f t="shared" si="0"/>
        <v>1484.5155709342562</v>
      </c>
      <c r="BR7" s="6">
        <f t="shared" si="0"/>
        <v>2094.8224852071003</v>
      </c>
      <c r="BS7" s="6">
        <f t="shared" si="0"/>
        <v>1898.4693877551019</v>
      </c>
      <c r="BT7" s="6">
        <f t="shared" si="0"/>
        <v>1299.792243767313</v>
      </c>
      <c r="BU7" s="6">
        <f t="shared" si="0"/>
        <v>2638.2231404958679</v>
      </c>
      <c r="BV7" s="6">
        <f t="shared" si="0"/>
        <v>2638.2231404958679</v>
      </c>
      <c r="BW7" s="6" t="e">
        <f t="shared" ref="BW7:BX7" si="1">(15+4/BD7)^2</f>
        <v>#DIV/0!</v>
      </c>
      <c r="BX7" s="6" t="e">
        <f t="shared" si="1"/>
        <v>#DIV/0!</v>
      </c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</row>
    <row r="8" spans="1:262" s="3" customFormat="1" ht="37.5" customHeight="1">
      <c r="A8" s="21">
        <v>2</v>
      </c>
      <c r="B8" s="59" t="s">
        <v>55</v>
      </c>
      <c r="C8" s="59"/>
      <c r="D8" s="59"/>
      <c r="E8" s="59"/>
      <c r="F8" s="59"/>
      <c r="G8" s="59"/>
      <c r="H8" s="59"/>
      <c r="I8" s="88"/>
      <c r="J8" s="26" t="s">
        <v>231</v>
      </c>
      <c r="K8" s="27">
        <f>AVERAGE(Y8:BE8)</f>
        <v>0.14111111111111113</v>
      </c>
      <c r="L8" s="27">
        <f t="shared" ref="L8:L46" si="2">X8</f>
        <v>7.1704727188899947E-2</v>
      </c>
      <c r="M8" s="83"/>
      <c r="O8" s="6"/>
      <c r="P8" s="6">
        <v>20</v>
      </c>
      <c r="Q8" s="6"/>
      <c r="R8" s="6"/>
      <c r="S8" s="46" cm="1">
        <f t="array" ref="S8">SUM((Y8:AY8 - K8)^2)</f>
        <v>2.6866666666666664E-2</v>
      </c>
      <c r="T8" s="46">
        <f t="shared" ref="T8:T26" si="3">(1/K8) * SQRT(S8 / (27* 26))*100</f>
        <v>4.3840664274252132</v>
      </c>
      <c r="U8" s="6">
        <f>SQRT(BJ8/3)</f>
        <v>25.026088440069994</v>
      </c>
      <c r="V8" s="6">
        <f t="shared" ref="V8:V46" si="4">SQRT(T8^2+U8^2)</f>
        <v>25.407186799216515</v>
      </c>
      <c r="W8" s="6">
        <f t="shared" ref="W8:W46" si="5">V8*2</f>
        <v>50.814373598433029</v>
      </c>
      <c r="X8" s="6">
        <f t="shared" ref="X8:X46" si="6">W8*0.01*K8</f>
        <v>7.1704727188899947E-2</v>
      </c>
      <c r="Y8" s="26">
        <v>0.1</v>
      </c>
      <c r="Z8" s="6">
        <v>0.16</v>
      </c>
      <c r="AA8" s="6">
        <v>0.13</v>
      </c>
      <c r="AB8" s="6">
        <v>0.13</v>
      </c>
      <c r="AC8" s="6">
        <v>0.19</v>
      </c>
      <c r="AD8" s="6">
        <v>0.14000000000000001</v>
      </c>
      <c r="AE8" s="6">
        <v>0.13</v>
      </c>
      <c r="AF8" s="6">
        <v>0.11</v>
      </c>
      <c r="AG8" s="6">
        <v>0.16</v>
      </c>
      <c r="AH8" s="6">
        <v>0.13</v>
      </c>
      <c r="AI8" s="6">
        <v>0.12</v>
      </c>
      <c r="AJ8" s="6">
        <v>0.21</v>
      </c>
      <c r="AK8" s="6">
        <v>0.11</v>
      </c>
      <c r="AL8" s="6">
        <v>0.12</v>
      </c>
      <c r="AM8" s="6">
        <v>0.1</v>
      </c>
      <c r="AN8" s="6">
        <v>0.13</v>
      </c>
      <c r="AO8" s="6">
        <v>0.16</v>
      </c>
      <c r="AP8" s="6">
        <v>0.16</v>
      </c>
      <c r="AQ8" s="6">
        <v>0.1</v>
      </c>
      <c r="AR8" s="6">
        <v>0.19</v>
      </c>
      <c r="AS8" s="6">
        <v>0.14000000000000001</v>
      </c>
      <c r="AT8" s="6">
        <v>0.13</v>
      </c>
      <c r="AU8" s="6">
        <v>0.1</v>
      </c>
      <c r="AV8" s="6">
        <v>0.21</v>
      </c>
      <c r="AW8" s="6">
        <v>0.13</v>
      </c>
      <c r="AX8" s="6">
        <v>0.16</v>
      </c>
      <c r="AY8" s="6">
        <v>0.16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>
        <f>(15+4/K8)^2</f>
        <v>1878.9153078306149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</row>
    <row r="9" spans="1:262" s="3" customFormat="1" ht="37.5" customHeight="1">
      <c r="A9" s="21">
        <v>3</v>
      </c>
      <c r="B9" s="59" t="s">
        <v>56</v>
      </c>
      <c r="C9" s="59"/>
      <c r="D9" s="59"/>
      <c r="E9" s="59"/>
      <c r="F9" s="59"/>
      <c r="G9" s="59"/>
      <c r="H9" s="59"/>
      <c r="I9" s="88"/>
      <c r="J9" s="26" t="s">
        <v>232</v>
      </c>
      <c r="K9" s="27">
        <f t="shared" ref="K9:K46" si="7">AVERAGE(Y9:BH9)</f>
        <v>0.14111111111111113</v>
      </c>
      <c r="L9" s="27">
        <f>X9</f>
        <v>7.1481879307456211E-2</v>
      </c>
      <c r="M9" s="83"/>
      <c r="O9" s="6"/>
      <c r="P9" s="6">
        <v>20</v>
      </c>
      <c r="Q9" s="6"/>
      <c r="R9" s="6"/>
      <c r="S9" s="46" cm="1">
        <f t="array" ref="S9">SUM((Y9:AY9 - K9)^2)</f>
        <v>2.1266666666666666E-2</v>
      </c>
      <c r="T9" s="46">
        <f t="shared" si="3"/>
        <v>3.9004969659774527</v>
      </c>
      <c r="U9" s="6">
        <f t="shared" ref="U9:U46" si="8">SQRT(BJ9/3)</f>
        <v>25.026088440069994</v>
      </c>
      <c r="V9" s="6">
        <f t="shared" si="4"/>
        <v>25.328224951460857</v>
      </c>
      <c r="W9" s="6">
        <f t="shared" si="5"/>
        <v>50.656449902921715</v>
      </c>
      <c r="X9" s="6">
        <f t="shared" si="6"/>
        <v>7.1481879307456211E-2</v>
      </c>
      <c r="Y9" s="26">
        <v>0.19</v>
      </c>
      <c r="Z9" s="6">
        <v>0.17</v>
      </c>
      <c r="AA9" s="6">
        <v>0.11</v>
      </c>
      <c r="AB9" s="6">
        <v>0.16</v>
      </c>
      <c r="AC9" s="6">
        <v>0.14000000000000001</v>
      </c>
      <c r="AD9" s="6">
        <v>0.16</v>
      </c>
      <c r="AE9" s="6">
        <v>0.11</v>
      </c>
      <c r="AF9" s="6">
        <v>0.14000000000000001</v>
      </c>
      <c r="AG9" s="6">
        <v>0.15</v>
      </c>
      <c r="AH9" s="6">
        <v>0.11</v>
      </c>
      <c r="AI9" s="6">
        <v>0.17</v>
      </c>
      <c r="AJ9" s="6">
        <v>0.17</v>
      </c>
      <c r="AK9" s="6">
        <v>0.1</v>
      </c>
      <c r="AL9" s="6">
        <v>0.12</v>
      </c>
      <c r="AM9" s="6">
        <v>0.15</v>
      </c>
      <c r="AN9" s="6">
        <v>0.12</v>
      </c>
      <c r="AO9" s="6">
        <v>0.1</v>
      </c>
      <c r="AP9" s="6">
        <v>0.11</v>
      </c>
      <c r="AQ9" s="6">
        <v>0.12</v>
      </c>
      <c r="AR9" s="6">
        <v>0.1</v>
      </c>
      <c r="AS9" s="6">
        <v>0.13</v>
      </c>
      <c r="AT9" s="6">
        <v>0.18</v>
      </c>
      <c r="AU9" s="6">
        <v>0.16</v>
      </c>
      <c r="AV9" s="6">
        <v>0.13</v>
      </c>
      <c r="AW9" s="6">
        <v>0.19</v>
      </c>
      <c r="AX9" s="6">
        <v>0.16</v>
      </c>
      <c r="AY9" s="6">
        <v>0.16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>
        <f t="shared" ref="BJ9:BJ46" si="9">(15+4/K9)^2</f>
        <v>1878.9153078306149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</row>
    <row r="10" spans="1:262" s="3" customFormat="1" ht="37.5" customHeight="1">
      <c r="A10" s="21">
        <v>4</v>
      </c>
      <c r="B10" s="59" t="s">
        <v>57</v>
      </c>
      <c r="C10" s="59"/>
      <c r="D10" s="59"/>
      <c r="E10" s="59"/>
      <c r="F10" s="59"/>
      <c r="G10" s="59"/>
      <c r="H10" s="59"/>
      <c r="I10" s="88"/>
      <c r="J10" s="26" t="s">
        <v>248</v>
      </c>
      <c r="K10" s="27">
        <f t="shared" si="7"/>
        <v>0.14370370370370372</v>
      </c>
      <c r="L10" s="27">
        <f t="shared" si="2"/>
        <v>7.2508015151872093E-2</v>
      </c>
      <c r="M10" s="83"/>
      <c r="O10" s="6"/>
      <c r="P10" s="6">
        <v>20</v>
      </c>
      <c r="Q10" s="6"/>
      <c r="R10" s="6"/>
      <c r="S10" s="46" cm="1">
        <f t="array" ref="S10">SUM((Y10:AY10 - K10)^2)</f>
        <v>3.602962962962962E-2</v>
      </c>
      <c r="T10" s="46">
        <f t="shared" si="3"/>
        <v>4.985323916098876</v>
      </c>
      <c r="U10" s="6">
        <f t="shared" si="8"/>
        <v>24.730828541060774</v>
      </c>
      <c r="V10" s="6">
        <f t="shared" si="4"/>
        <v>25.228304240986422</v>
      </c>
      <c r="W10" s="6">
        <f t="shared" si="5"/>
        <v>50.456608481972843</v>
      </c>
      <c r="X10" s="6">
        <f t="shared" si="6"/>
        <v>7.2508015151872093E-2</v>
      </c>
      <c r="Y10" s="26">
        <v>0.1</v>
      </c>
      <c r="Z10" s="6">
        <v>0.15</v>
      </c>
      <c r="AA10" s="6">
        <v>0.21</v>
      </c>
      <c r="AB10" s="6">
        <v>0.1</v>
      </c>
      <c r="AC10" s="6">
        <v>0.17</v>
      </c>
      <c r="AD10" s="6">
        <v>0.11</v>
      </c>
      <c r="AE10" s="6">
        <v>0.19</v>
      </c>
      <c r="AF10" s="6">
        <v>0.16</v>
      </c>
      <c r="AG10" s="6">
        <v>0.11</v>
      </c>
      <c r="AH10" s="6">
        <v>0.14000000000000001</v>
      </c>
      <c r="AI10" s="6">
        <v>0.1</v>
      </c>
      <c r="AJ10" s="6">
        <v>0.1</v>
      </c>
      <c r="AK10" s="6">
        <v>0.13</v>
      </c>
      <c r="AL10" s="6">
        <v>0.19</v>
      </c>
      <c r="AM10" s="6">
        <v>0.18</v>
      </c>
      <c r="AN10" s="6">
        <v>0.2</v>
      </c>
      <c r="AO10" s="6">
        <v>0.11</v>
      </c>
      <c r="AP10" s="6">
        <v>0.18</v>
      </c>
      <c r="AQ10" s="6">
        <v>0.13</v>
      </c>
      <c r="AR10" s="6">
        <v>0.18</v>
      </c>
      <c r="AS10" s="6">
        <v>0.11</v>
      </c>
      <c r="AT10" s="6">
        <v>0.12</v>
      </c>
      <c r="AU10" s="6">
        <v>0.1</v>
      </c>
      <c r="AV10" s="6">
        <v>0.17</v>
      </c>
      <c r="AW10" s="6">
        <v>0.16</v>
      </c>
      <c r="AX10" s="6">
        <v>0.1</v>
      </c>
      <c r="AY10" s="6">
        <v>0.18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>
        <f t="shared" si="9"/>
        <v>1834.8416409820386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</row>
    <row r="11" spans="1:262" s="3" customFormat="1" ht="37.5" customHeight="1">
      <c r="A11" s="21">
        <v>5</v>
      </c>
      <c r="B11" s="59" t="s">
        <v>62</v>
      </c>
      <c r="C11" s="59"/>
      <c r="D11" s="59"/>
      <c r="E11" s="59"/>
      <c r="F11" s="59"/>
      <c r="G11" s="59"/>
      <c r="H11" s="59"/>
      <c r="I11" s="88"/>
      <c r="J11" s="26" t="s">
        <v>233</v>
      </c>
      <c r="K11" s="27">
        <f t="shared" si="7"/>
        <v>0.13740740740740739</v>
      </c>
      <c r="L11" s="27">
        <f t="shared" si="2"/>
        <v>7.0890385567114605E-2</v>
      </c>
      <c r="M11" s="83"/>
      <c r="O11" s="6"/>
      <c r="P11" s="6">
        <v>20</v>
      </c>
      <c r="Q11" s="6"/>
      <c r="R11" s="6"/>
      <c r="S11" s="46" cm="1">
        <f t="array" ref="S11">SUM((Y11:AY11 - K11)^2)</f>
        <v>2.2318518518518515E-2</v>
      </c>
      <c r="T11" s="46">
        <f t="shared" si="3"/>
        <v>4.1034956754361023</v>
      </c>
      <c r="U11" s="6">
        <f t="shared" si="8"/>
        <v>25.467216051989826</v>
      </c>
      <c r="V11" s="6">
        <f t="shared" si="4"/>
        <v>25.795692861348986</v>
      </c>
      <c r="W11" s="6">
        <f t="shared" si="5"/>
        <v>51.591385722697972</v>
      </c>
      <c r="X11" s="6">
        <f t="shared" si="6"/>
        <v>7.0890385567114605E-2</v>
      </c>
      <c r="Y11" s="26">
        <v>0.18</v>
      </c>
      <c r="Z11" s="6">
        <v>0.19</v>
      </c>
      <c r="AA11" s="6">
        <v>0.15</v>
      </c>
      <c r="AB11" s="6">
        <v>0.12</v>
      </c>
      <c r="AC11" s="6">
        <v>0.15</v>
      </c>
      <c r="AD11" s="6">
        <v>0.15</v>
      </c>
      <c r="AE11" s="6">
        <v>0.11</v>
      </c>
      <c r="AF11" s="6">
        <v>0.18</v>
      </c>
      <c r="AG11" s="6">
        <v>0.14000000000000001</v>
      </c>
      <c r="AH11" s="6">
        <v>0.15</v>
      </c>
      <c r="AI11" s="6">
        <v>0.1</v>
      </c>
      <c r="AJ11" s="6">
        <v>0.1</v>
      </c>
      <c r="AK11" s="6">
        <v>0.16</v>
      </c>
      <c r="AL11" s="6">
        <v>0.14000000000000001</v>
      </c>
      <c r="AM11" s="6">
        <v>0.13</v>
      </c>
      <c r="AN11" s="6">
        <v>0.12</v>
      </c>
      <c r="AO11" s="6">
        <v>0.17</v>
      </c>
      <c r="AP11" s="6">
        <v>0.16</v>
      </c>
      <c r="AQ11" s="6">
        <v>0.1</v>
      </c>
      <c r="AR11" s="6">
        <v>0.17</v>
      </c>
      <c r="AS11" s="6">
        <v>0.11</v>
      </c>
      <c r="AT11" s="6">
        <v>0.11</v>
      </c>
      <c r="AU11" s="6">
        <v>0.18</v>
      </c>
      <c r="AV11" s="6">
        <v>0.11</v>
      </c>
      <c r="AW11" s="6">
        <v>0.1</v>
      </c>
      <c r="AX11" s="6">
        <v>0.12</v>
      </c>
      <c r="AY11" s="6">
        <v>0.11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>
        <f t="shared" si="9"/>
        <v>1945.737280316185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</row>
    <row r="12" spans="1:262" s="3" customFormat="1" ht="37.5" customHeight="1">
      <c r="A12" s="21">
        <v>6</v>
      </c>
      <c r="B12" s="59" t="s">
        <v>63</v>
      </c>
      <c r="C12" s="59"/>
      <c r="D12" s="59"/>
      <c r="E12" s="59"/>
      <c r="F12" s="59"/>
      <c r="G12" s="59"/>
      <c r="H12" s="59"/>
      <c r="I12" s="88"/>
      <c r="J12" s="26" t="s">
        <v>249</v>
      </c>
      <c r="K12" s="27">
        <f t="shared" si="7"/>
        <v>0.14444444444444446</v>
      </c>
      <c r="L12" s="27">
        <f t="shared" si="2"/>
        <v>7.232077431112767E-2</v>
      </c>
      <c r="M12" s="83"/>
      <c r="O12" s="6"/>
      <c r="P12" s="6">
        <v>20</v>
      </c>
      <c r="Q12" s="6"/>
      <c r="R12" s="6"/>
      <c r="S12" s="46" cm="1">
        <f t="array" ref="S12">SUM((Y12:AY12 - K12)^2)</f>
        <v>2.806666666666667E-2</v>
      </c>
      <c r="T12" s="46">
        <f t="shared" si="3"/>
        <v>4.3774986362560195</v>
      </c>
      <c r="U12" s="6">
        <f t="shared" si="8"/>
        <v>24.648415338480177</v>
      </c>
      <c r="V12" s="6">
        <f t="shared" si="4"/>
        <v>25.034114184621114</v>
      </c>
      <c r="W12" s="6">
        <f t="shared" si="5"/>
        <v>50.068228369242227</v>
      </c>
      <c r="X12" s="6">
        <f t="shared" si="6"/>
        <v>7.232077431112767E-2</v>
      </c>
      <c r="Y12" s="26">
        <v>0.14000000000000001</v>
      </c>
      <c r="Z12" s="6">
        <v>0.13</v>
      </c>
      <c r="AA12" s="6">
        <v>0.19</v>
      </c>
      <c r="AB12" s="6">
        <v>0.12</v>
      </c>
      <c r="AC12" s="6">
        <v>0.16</v>
      </c>
      <c r="AD12" s="6">
        <v>0.19</v>
      </c>
      <c r="AE12" s="6">
        <v>0.11</v>
      </c>
      <c r="AF12" s="6">
        <v>0.1</v>
      </c>
      <c r="AG12" s="6">
        <v>0.12</v>
      </c>
      <c r="AH12" s="6">
        <v>0.13</v>
      </c>
      <c r="AI12" s="6">
        <v>0.17</v>
      </c>
      <c r="AJ12" s="6">
        <v>0.11</v>
      </c>
      <c r="AK12" s="6">
        <v>0.16</v>
      </c>
      <c r="AL12" s="6">
        <v>0.13</v>
      </c>
      <c r="AM12" s="6">
        <v>0.17</v>
      </c>
      <c r="AN12" s="6">
        <v>0.13</v>
      </c>
      <c r="AO12" s="6">
        <v>0.2</v>
      </c>
      <c r="AP12" s="6">
        <v>0.2</v>
      </c>
      <c r="AQ12" s="6">
        <v>0.19</v>
      </c>
      <c r="AR12" s="6">
        <v>0.12</v>
      </c>
      <c r="AS12" s="6">
        <v>0.16</v>
      </c>
      <c r="AT12" s="6">
        <v>0.12</v>
      </c>
      <c r="AU12" s="6">
        <v>0.19</v>
      </c>
      <c r="AV12" s="6">
        <v>0.11</v>
      </c>
      <c r="AW12" s="6">
        <v>0.12</v>
      </c>
      <c r="AX12" s="6">
        <v>0.13</v>
      </c>
      <c r="AY12" s="6">
        <v>0.1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>
        <f t="shared" si="9"/>
        <v>1822.6331360946747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</row>
    <row r="13" spans="1:262" s="3" customFormat="1" ht="37.5" customHeight="1">
      <c r="A13" s="21">
        <v>7</v>
      </c>
      <c r="B13" s="59" t="s">
        <v>64</v>
      </c>
      <c r="C13" s="59"/>
      <c r="D13" s="59"/>
      <c r="E13" s="59"/>
      <c r="F13" s="59"/>
      <c r="G13" s="59"/>
      <c r="H13" s="59"/>
      <c r="I13" s="88"/>
      <c r="J13" s="26" t="s">
        <v>250</v>
      </c>
      <c r="K13" s="27">
        <f t="shared" si="7"/>
        <v>0.15555555555555559</v>
      </c>
      <c r="L13" s="27">
        <f t="shared" si="2"/>
        <v>7.4392761751057926E-2</v>
      </c>
      <c r="M13" s="83"/>
      <c r="O13" s="6"/>
      <c r="P13" s="6">
        <v>20</v>
      </c>
      <c r="Q13" s="6"/>
      <c r="R13" s="6"/>
      <c r="S13" s="46" cm="1">
        <f t="array" ref="S13">SUM((Y13:AY13 - K13)^2)</f>
        <v>3.266666666666667E-2</v>
      </c>
      <c r="T13" s="46">
        <f t="shared" si="3"/>
        <v>4.3852900965351456</v>
      </c>
      <c r="U13" s="6">
        <f t="shared" si="8"/>
        <v>23.506403817006188</v>
      </c>
      <c r="V13" s="6">
        <f t="shared" si="4"/>
        <v>23.911959134268614</v>
      </c>
      <c r="W13" s="6">
        <f t="shared" si="5"/>
        <v>47.823918268537227</v>
      </c>
      <c r="X13" s="6">
        <f t="shared" si="6"/>
        <v>7.4392761751057926E-2</v>
      </c>
      <c r="Y13" s="26">
        <v>0.1</v>
      </c>
      <c r="Z13" s="6">
        <v>0.14000000000000001</v>
      </c>
      <c r="AA13" s="6">
        <v>0.19</v>
      </c>
      <c r="AB13" s="6">
        <v>0.18</v>
      </c>
      <c r="AC13" s="6">
        <v>0.12</v>
      </c>
      <c r="AD13" s="6">
        <v>0.15</v>
      </c>
      <c r="AE13" s="6">
        <v>0.15</v>
      </c>
      <c r="AF13" s="6">
        <v>0.17</v>
      </c>
      <c r="AG13" s="6">
        <v>0.18</v>
      </c>
      <c r="AH13" s="6">
        <v>0.13</v>
      </c>
      <c r="AI13" s="6">
        <v>0.17</v>
      </c>
      <c r="AJ13" s="6">
        <v>0.18</v>
      </c>
      <c r="AK13" s="6">
        <v>0.21</v>
      </c>
      <c r="AL13" s="6">
        <v>0.12</v>
      </c>
      <c r="AM13" s="6">
        <v>0.21</v>
      </c>
      <c r="AN13" s="6">
        <v>0.2</v>
      </c>
      <c r="AO13" s="6">
        <v>0.1</v>
      </c>
      <c r="AP13" s="6">
        <v>0.19</v>
      </c>
      <c r="AQ13" s="6">
        <v>0.17</v>
      </c>
      <c r="AR13" s="6">
        <v>0.16</v>
      </c>
      <c r="AS13" s="6">
        <v>0.18</v>
      </c>
      <c r="AT13" s="6">
        <v>0.1</v>
      </c>
      <c r="AU13" s="6">
        <v>0.11</v>
      </c>
      <c r="AV13" s="6">
        <v>0.12</v>
      </c>
      <c r="AW13" s="6">
        <v>0.18</v>
      </c>
      <c r="AX13" s="6">
        <v>0.18</v>
      </c>
      <c r="AY13" s="6">
        <v>0.11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>
        <f t="shared" si="9"/>
        <v>1657.6530612244892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</row>
    <row r="14" spans="1:262" s="3" customFormat="1" ht="37.5" customHeight="1">
      <c r="A14" s="21">
        <v>8</v>
      </c>
      <c r="B14" s="59" t="s">
        <v>65</v>
      </c>
      <c r="C14" s="59"/>
      <c r="D14" s="59"/>
      <c r="E14" s="59"/>
      <c r="F14" s="59"/>
      <c r="G14" s="59"/>
      <c r="H14" s="59"/>
      <c r="I14" s="88"/>
      <c r="J14" s="26" t="s">
        <v>251</v>
      </c>
      <c r="K14" s="27">
        <f t="shared" si="7"/>
        <v>0.15148148148148147</v>
      </c>
      <c r="L14" s="27">
        <f t="shared" si="2"/>
        <v>7.4133735944623108E-2</v>
      </c>
      <c r="M14" s="83"/>
      <c r="O14" s="6"/>
      <c r="P14" s="6">
        <v>60</v>
      </c>
      <c r="Q14" s="6"/>
      <c r="R14" s="6"/>
      <c r="S14" s="46" cm="1">
        <f t="array" ref="S14">SUM((Y14:AY14 - K14)^2)</f>
        <v>4.3940740740740766E-2</v>
      </c>
      <c r="T14" s="46">
        <f t="shared" si="3"/>
        <v>5.2228263558387198</v>
      </c>
      <c r="U14" s="6">
        <f t="shared" si="8"/>
        <v>23.905689018890744</v>
      </c>
      <c r="V14" s="6">
        <f t="shared" si="4"/>
        <v>24.469570544068752</v>
      </c>
      <c r="W14" s="6">
        <f t="shared" si="5"/>
        <v>48.939141088137504</v>
      </c>
      <c r="X14" s="6">
        <f t="shared" si="6"/>
        <v>7.4133735944623108E-2</v>
      </c>
      <c r="Y14" s="26">
        <v>0.16</v>
      </c>
      <c r="Z14" s="6">
        <v>0.11</v>
      </c>
      <c r="AA14" s="6">
        <v>0.19</v>
      </c>
      <c r="AB14" s="6">
        <v>0.17</v>
      </c>
      <c r="AC14" s="6">
        <v>0.21</v>
      </c>
      <c r="AD14" s="6">
        <v>0.21</v>
      </c>
      <c r="AE14" s="6">
        <v>0.21</v>
      </c>
      <c r="AF14" s="6">
        <v>0.19</v>
      </c>
      <c r="AG14" s="6">
        <v>0.2</v>
      </c>
      <c r="AH14" s="6">
        <v>0.19</v>
      </c>
      <c r="AI14" s="6">
        <v>0.2</v>
      </c>
      <c r="AJ14" s="6">
        <v>0.1</v>
      </c>
      <c r="AK14" s="6">
        <v>0.11</v>
      </c>
      <c r="AL14" s="6">
        <v>0.11</v>
      </c>
      <c r="AM14" s="6">
        <v>0.1</v>
      </c>
      <c r="AN14" s="6">
        <v>0.13</v>
      </c>
      <c r="AO14" s="6">
        <v>0.15</v>
      </c>
      <c r="AP14" s="6">
        <v>0.15</v>
      </c>
      <c r="AQ14" s="6">
        <v>0.2</v>
      </c>
      <c r="AR14" s="6">
        <v>0.1</v>
      </c>
      <c r="AS14" s="6">
        <v>0.12</v>
      </c>
      <c r="AT14" s="6">
        <v>0.11</v>
      </c>
      <c r="AU14" s="6">
        <v>0.12</v>
      </c>
      <c r="AV14" s="6">
        <v>0.1</v>
      </c>
      <c r="AW14" s="6">
        <v>0.15</v>
      </c>
      <c r="AX14" s="6">
        <v>0.18</v>
      </c>
      <c r="AY14" s="6">
        <v>0.12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>
        <f t="shared" si="9"/>
        <v>1714.4459024037403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</row>
    <row r="15" spans="1:262" s="3" customFormat="1" ht="37.5" customHeight="1">
      <c r="A15" s="21">
        <v>9</v>
      </c>
      <c r="B15" s="59" t="s">
        <v>66</v>
      </c>
      <c r="C15" s="59"/>
      <c r="D15" s="59"/>
      <c r="E15" s="59"/>
      <c r="F15" s="59"/>
      <c r="G15" s="59"/>
      <c r="H15" s="59"/>
      <c r="I15" s="89"/>
      <c r="J15" s="26" t="s">
        <v>252</v>
      </c>
      <c r="K15" s="27">
        <f t="shared" si="7"/>
        <v>0.14777777777777784</v>
      </c>
      <c r="L15" s="27">
        <f t="shared" si="2"/>
        <v>7.3302447523363637E-2</v>
      </c>
      <c r="M15" s="83"/>
      <c r="O15" s="6"/>
      <c r="P15" s="6">
        <v>60</v>
      </c>
      <c r="Q15" s="6"/>
      <c r="R15" s="6"/>
      <c r="S15" s="46" cm="1">
        <f t="array" ref="S15">SUM((Y15:AY15 - K15)^2)</f>
        <v>3.8666666666666669E-2</v>
      </c>
      <c r="T15" s="46">
        <f t="shared" si="3"/>
        <v>5.0221615606922851</v>
      </c>
      <c r="U15" s="6">
        <f t="shared" si="8"/>
        <v>24.287780121172595</v>
      </c>
      <c r="V15" s="6">
        <f t="shared" si="4"/>
        <v>24.801579989107989</v>
      </c>
      <c r="W15" s="6">
        <f t="shared" si="5"/>
        <v>49.603159978215977</v>
      </c>
      <c r="X15" s="6">
        <f t="shared" si="6"/>
        <v>7.3302447523363637E-2</v>
      </c>
      <c r="Y15" s="26">
        <v>0.11</v>
      </c>
      <c r="Z15" s="6">
        <v>0.17</v>
      </c>
      <c r="AA15" s="6">
        <v>0.18</v>
      </c>
      <c r="AB15" s="6">
        <v>0.21</v>
      </c>
      <c r="AC15" s="6">
        <v>0.2</v>
      </c>
      <c r="AD15" s="6">
        <v>0.2</v>
      </c>
      <c r="AE15" s="6">
        <v>0.13</v>
      </c>
      <c r="AF15" s="6">
        <v>0.14000000000000001</v>
      </c>
      <c r="AG15" s="6">
        <v>0.11</v>
      </c>
      <c r="AH15" s="6">
        <v>0.13</v>
      </c>
      <c r="AI15" s="6">
        <v>0.11</v>
      </c>
      <c r="AJ15" s="6">
        <v>0.2</v>
      </c>
      <c r="AK15" s="6">
        <v>0.19</v>
      </c>
      <c r="AL15" s="6">
        <v>0.11</v>
      </c>
      <c r="AM15" s="6">
        <v>0.14000000000000001</v>
      </c>
      <c r="AN15" s="6">
        <v>0.21</v>
      </c>
      <c r="AO15" s="6">
        <v>0.14000000000000001</v>
      </c>
      <c r="AP15" s="6">
        <v>0.12</v>
      </c>
      <c r="AQ15" s="6">
        <v>0.1</v>
      </c>
      <c r="AR15" s="6">
        <v>0.1</v>
      </c>
      <c r="AS15" s="6">
        <v>0.18</v>
      </c>
      <c r="AT15" s="6">
        <v>0.12</v>
      </c>
      <c r="AU15" s="6">
        <v>0.11</v>
      </c>
      <c r="AV15" s="6">
        <v>0.12</v>
      </c>
      <c r="AW15" s="6">
        <v>0.12</v>
      </c>
      <c r="AX15" s="6">
        <v>0.2</v>
      </c>
      <c r="AY15" s="6">
        <v>0.14000000000000001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>
        <f t="shared" si="9"/>
        <v>1769.6887896432802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</row>
    <row r="16" spans="1:262" s="3" customFormat="1" ht="37.5" customHeight="1">
      <c r="A16" s="21">
        <v>10</v>
      </c>
      <c r="B16" s="59" t="s">
        <v>67</v>
      </c>
      <c r="C16" s="59"/>
      <c r="D16" s="59"/>
      <c r="E16" s="59"/>
      <c r="F16" s="59"/>
      <c r="G16" s="59"/>
      <c r="H16" s="59"/>
      <c r="I16" s="90">
        <v>46099</v>
      </c>
      <c r="J16" s="26" t="s">
        <v>253</v>
      </c>
      <c r="K16" s="27">
        <f t="shared" si="7"/>
        <v>0.15481481481481479</v>
      </c>
      <c r="L16" s="27">
        <f t="shared" si="2"/>
        <v>7.4274597530686548E-2</v>
      </c>
      <c r="M16" s="83">
        <f>0.3</f>
        <v>0.3</v>
      </c>
      <c r="O16" s="6"/>
      <c r="P16" s="6">
        <v>60</v>
      </c>
      <c r="Q16" s="6"/>
      <c r="R16" s="6"/>
      <c r="S16" s="46" cm="1">
        <f t="array" ref="S16">SUM((Y16:AY16 - K16)^2)</f>
        <v>3.287407407407409E-2</v>
      </c>
      <c r="T16" s="46">
        <f t="shared" si="3"/>
        <v>4.4202383787482677</v>
      </c>
      <c r="U16" s="6">
        <f t="shared" si="8"/>
        <v>23.577438026475868</v>
      </c>
      <c r="V16" s="6">
        <f t="shared" si="4"/>
        <v>23.988207336465752</v>
      </c>
      <c r="W16" s="6">
        <f t="shared" si="5"/>
        <v>47.976414672931504</v>
      </c>
      <c r="X16" s="6">
        <f t="shared" si="6"/>
        <v>7.4274597530686548E-2</v>
      </c>
      <c r="Y16" s="26">
        <v>0.17</v>
      </c>
      <c r="Z16" s="6">
        <v>0.15</v>
      </c>
      <c r="AA16" s="6">
        <v>0.11</v>
      </c>
      <c r="AB16" s="6">
        <v>0.21</v>
      </c>
      <c r="AC16" s="6">
        <v>0.19</v>
      </c>
      <c r="AD16" s="6">
        <v>0.2</v>
      </c>
      <c r="AE16" s="6">
        <v>0.19</v>
      </c>
      <c r="AF16" s="6">
        <v>0.1</v>
      </c>
      <c r="AG16" s="6">
        <v>0.19</v>
      </c>
      <c r="AH16" s="6">
        <v>0.2</v>
      </c>
      <c r="AI16" s="6">
        <v>0.19</v>
      </c>
      <c r="AJ16" s="6">
        <v>0.13</v>
      </c>
      <c r="AK16" s="6">
        <v>0.21</v>
      </c>
      <c r="AL16" s="6">
        <v>0.18</v>
      </c>
      <c r="AM16" s="6">
        <v>0.16</v>
      </c>
      <c r="AN16" s="6">
        <v>0.15</v>
      </c>
      <c r="AO16" s="6">
        <v>0.17</v>
      </c>
      <c r="AP16" s="6">
        <v>0.16</v>
      </c>
      <c r="AQ16" s="6">
        <v>0.13</v>
      </c>
      <c r="AR16" s="6">
        <v>0.1</v>
      </c>
      <c r="AS16" s="6">
        <v>0.13</v>
      </c>
      <c r="AT16" s="6">
        <v>0.15</v>
      </c>
      <c r="AU16" s="6">
        <v>0.12</v>
      </c>
      <c r="AV16" s="6">
        <v>0.15</v>
      </c>
      <c r="AW16" s="6">
        <v>0.12</v>
      </c>
      <c r="AX16" s="6">
        <v>0.12</v>
      </c>
      <c r="AY16" s="6">
        <v>0.1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>
        <f t="shared" si="9"/>
        <v>1667.6867516769307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</row>
    <row r="17" spans="1:262" s="3" customFormat="1" ht="37.5" customHeight="1">
      <c r="A17" s="21">
        <v>11</v>
      </c>
      <c r="B17" s="59" t="s">
        <v>68</v>
      </c>
      <c r="C17" s="59"/>
      <c r="D17" s="59"/>
      <c r="E17" s="59"/>
      <c r="F17" s="59"/>
      <c r="G17" s="59"/>
      <c r="H17" s="59"/>
      <c r="I17" s="90"/>
      <c r="J17" s="26" t="s">
        <v>254</v>
      </c>
      <c r="K17" s="27">
        <f t="shared" si="7"/>
        <v>0.1425925925925926</v>
      </c>
      <c r="L17" s="27">
        <f t="shared" si="2"/>
        <v>7.2125638538006312E-2</v>
      </c>
      <c r="M17" s="83"/>
      <c r="O17" s="6"/>
      <c r="P17" s="6">
        <v>60</v>
      </c>
      <c r="Q17" s="6"/>
      <c r="R17" s="6"/>
      <c r="S17" s="46" cm="1">
        <f t="array" ref="S17">SUM((Y17:AY17 - K17)^2)</f>
        <v>3.1118518518518518E-2</v>
      </c>
      <c r="T17" s="46">
        <f t="shared" si="3"/>
        <v>4.6692156780693148</v>
      </c>
      <c r="U17" s="6">
        <f t="shared" si="8"/>
        <v>24.856053796929988</v>
      </c>
      <c r="V17" s="6">
        <f t="shared" si="4"/>
        <v>25.290808318521691</v>
      </c>
      <c r="W17" s="6">
        <f t="shared" si="5"/>
        <v>50.581616637043382</v>
      </c>
      <c r="X17" s="6">
        <f t="shared" si="6"/>
        <v>7.2125638538006312E-2</v>
      </c>
      <c r="Y17" s="26">
        <v>0.16</v>
      </c>
      <c r="Z17" s="6">
        <v>0.1</v>
      </c>
      <c r="AA17" s="6">
        <v>0.12</v>
      </c>
      <c r="AB17" s="6">
        <v>0.1</v>
      </c>
      <c r="AC17" s="6">
        <v>0.19</v>
      </c>
      <c r="AD17" s="6">
        <v>0.1</v>
      </c>
      <c r="AE17" s="6">
        <v>0.12</v>
      </c>
      <c r="AF17" s="6">
        <v>0.19</v>
      </c>
      <c r="AG17" s="6">
        <v>0.12</v>
      </c>
      <c r="AH17" s="6">
        <v>0.1</v>
      </c>
      <c r="AI17" s="6">
        <v>0.18</v>
      </c>
      <c r="AJ17" s="6">
        <v>0.19</v>
      </c>
      <c r="AK17" s="6">
        <v>0.15</v>
      </c>
      <c r="AL17" s="6">
        <v>0.14000000000000001</v>
      </c>
      <c r="AM17" s="6">
        <v>0.17</v>
      </c>
      <c r="AN17" s="6">
        <v>0.12</v>
      </c>
      <c r="AO17" s="6">
        <v>0.12</v>
      </c>
      <c r="AP17" s="6">
        <v>0.21</v>
      </c>
      <c r="AQ17" s="6">
        <v>0.12</v>
      </c>
      <c r="AR17" s="6">
        <v>0.14000000000000001</v>
      </c>
      <c r="AS17" s="6">
        <v>0.2</v>
      </c>
      <c r="AT17" s="6">
        <v>0.17</v>
      </c>
      <c r="AU17" s="6">
        <v>0.14000000000000001</v>
      </c>
      <c r="AV17" s="6">
        <v>0.15</v>
      </c>
      <c r="AW17" s="6">
        <v>0.11</v>
      </c>
      <c r="AX17" s="6">
        <v>0.1</v>
      </c>
      <c r="AY17" s="6">
        <v>0.14000000000000001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>
        <f t="shared" si="9"/>
        <v>1853.470231067633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</row>
    <row r="18" spans="1:262" s="3" customFormat="1" ht="37.5" customHeight="1">
      <c r="A18" s="21">
        <v>12</v>
      </c>
      <c r="B18" s="59" t="s">
        <v>69</v>
      </c>
      <c r="C18" s="59"/>
      <c r="D18" s="59"/>
      <c r="E18" s="59"/>
      <c r="F18" s="59"/>
      <c r="G18" s="59"/>
      <c r="H18" s="59"/>
      <c r="I18" s="90"/>
      <c r="J18" s="26" t="s">
        <v>255</v>
      </c>
      <c r="K18" s="27">
        <f t="shared" si="7"/>
        <v>0.13777777777777772</v>
      </c>
      <c r="L18" s="27">
        <f t="shared" si="2"/>
        <v>7.1031900327933856E-2</v>
      </c>
      <c r="M18" s="83"/>
      <c r="O18" s="6"/>
      <c r="P18" s="6">
        <v>60</v>
      </c>
      <c r="Q18" s="6"/>
      <c r="R18" s="6"/>
      <c r="S18" s="46" cm="1">
        <f t="array" ref="S18">SUM((Y18:AY18 - K18)^2)</f>
        <v>2.4266666666666659E-2</v>
      </c>
      <c r="T18" s="46">
        <f t="shared" si="3"/>
        <v>4.2673408242977278</v>
      </c>
      <c r="U18" s="6">
        <f t="shared" si="8"/>
        <v>25.422036046575464</v>
      </c>
      <c r="V18" s="6">
        <f t="shared" si="4"/>
        <v>25.777705764169554</v>
      </c>
      <c r="W18" s="6">
        <f t="shared" si="5"/>
        <v>51.555411528339107</v>
      </c>
      <c r="X18" s="6">
        <f t="shared" si="6"/>
        <v>7.1031900327933856E-2</v>
      </c>
      <c r="Y18" s="26">
        <v>0.14000000000000001</v>
      </c>
      <c r="Z18" s="6">
        <v>0.15</v>
      </c>
      <c r="AA18" s="6">
        <v>0.1</v>
      </c>
      <c r="AB18" s="6">
        <v>0.17</v>
      </c>
      <c r="AC18" s="6">
        <v>0.2</v>
      </c>
      <c r="AD18" s="6">
        <v>0.2</v>
      </c>
      <c r="AE18" s="6">
        <v>0.18</v>
      </c>
      <c r="AF18" s="6">
        <v>0.14000000000000001</v>
      </c>
      <c r="AG18" s="6">
        <v>0.16</v>
      </c>
      <c r="AH18" s="6">
        <v>0.12</v>
      </c>
      <c r="AI18" s="6">
        <v>0.1</v>
      </c>
      <c r="AJ18" s="6">
        <v>0.11</v>
      </c>
      <c r="AK18" s="6">
        <v>0.1</v>
      </c>
      <c r="AL18" s="6">
        <v>0.12</v>
      </c>
      <c r="AM18" s="6">
        <v>0.13</v>
      </c>
      <c r="AN18" s="6">
        <v>0.11</v>
      </c>
      <c r="AO18" s="6">
        <v>0.19</v>
      </c>
      <c r="AP18" s="6">
        <v>0.13</v>
      </c>
      <c r="AQ18" s="6">
        <v>0.13</v>
      </c>
      <c r="AR18" s="6">
        <v>0.15</v>
      </c>
      <c r="AS18" s="6">
        <v>0.11</v>
      </c>
      <c r="AT18" s="6">
        <v>0.15</v>
      </c>
      <c r="AU18" s="6">
        <v>0.11</v>
      </c>
      <c r="AV18" s="6">
        <v>0.15</v>
      </c>
      <c r="AW18" s="6">
        <v>0.11</v>
      </c>
      <c r="AX18" s="6">
        <v>0.15</v>
      </c>
      <c r="AY18" s="6">
        <v>0.11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>
        <f t="shared" si="9"/>
        <v>1938.839750260147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</row>
    <row r="19" spans="1:262" s="3" customFormat="1" ht="37.5" customHeight="1">
      <c r="A19" s="21">
        <v>13</v>
      </c>
      <c r="B19" s="59" t="s">
        <v>83</v>
      </c>
      <c r="C19" s="59"/>
      <c r="D19" s="59"/>
      <c r="E19" s="59"/>
      <c r="F19" s="59"/>
      <c r="G19" s="59"/>
      <c r="H19" s="59"/>
      <c r="I19" s="90"/>
      <c r="J19" s="26" t="s">
        <v>256</v>
      </c>
      <c r="K19" s="27">
        <f t="shared" si="7"/>
        <v>0.13962962962962966</v>
      </c>
      <c r="L19" s="27">
        <f>X19</f>
        <v>7.1739677320850986E-2</v>
      </c>
      <c r="M19" s="83"/>
      <c r="O19" s="6"/>
      <c r="P19" s="6">
        <v>60</v>
      </c>
      <c r="Q19" s="6"/>
      <c r="R19" s="6"/>
      <c r="S19" s="46" cm="1">
        <f t="array" ref="S19">SUM((Y19:AY19 - K19)^2)</f>
        <v>3.4096296296296291E-2</v>
      </c>
      <c r="T19" s="46">
        <f t="shared" si="3"/>
        <v>4.9912285991762504</v>
      </c>
      <c r="U19" s="6">
        <f>SQRT(BJ19/3)</f>
        <v>25.199731245398649</v>
      </c>
      <c r="V19" s="6">
        <f>SQRT(T19^2+U19^2)</f>
        <v>25.689274372188017</v>
      </c>
      <c r="W19" s="6">
        <f>V19*2</f>
        <v>51.378548744376033</v>
      </c>
      <c r="X19" s="6">
        <f>W19*0.01*K19</f>
        <v>7.1739677320850986E-2</v>
      </c>
      <c r="Y19" s="26">
        <v>0.11</v>
      </c>
      <c r="Z19" s="6">
        <v>0.1</v>
      </c>
      <c r="AA19" s="6">
        <v>0.17</v>
      </c>
      <c r="AB19" s="6">
        <v>0.16</v>
      </c>
      <c r="AC19" s="6">
        <v>0.13</v>
      </c>
      <c r="AD19" s="6">
        <v>0.19</v>
      </c>
      <c r="AE19" s="6">
        <v>0.1</v>
      </c>
      <c r="AF19" s="6">
        <v>0.13</v>
      </c>
      <c r="AG19" s="6">
        <v>0.1</v>
      </c>
      <c r="AH19" s="6">
        <v>0.15</v>
      </c>
      <c r="AI19" s="6">
        <v>0.13</v>
      </c>
      <c r="AJ19" s="6">
        <v>0.19</v>
      </c>
      <c r="AK19" s="6">
        <v>0.1</v>
      </c>
      <c r="AL19" s="6">
        <v>0.12</v>
      </c>
      <c r="AM19" s="6">
        <v>0.11</v>
      </c>
      <c r="AN19" s="6">
        <v>0.2</v>
      </c>
      <c r="AO19" s="6">
        <v>0.1</v>
      </c>
      <c r="AP19" s="6">
        <v>0.16</v>
      </c>
      <c r="AQ19" s="6">
        <v>0.18</v>
      </c>
      <c r="AR19" s="6">
        <v>0.12</v>
      </c>
      <c r="AS19" s="6">
        <v>0.12</v>
      </c>
      <c r="AT19" s="6">
        <v>0.17</v>
      </c>
      <c r="AU19" s="6">
        <v>0.11</v>
      </c>
      <c r="AV19" s="6">
        <v>0.11</v>
      </c>
      <c r="AW19" s="6">
        <v>0.11</v>
      </c>
      <c r="AX19" s="6">
        <v>0.2</v>
      </c>
      <c r="AY19" s="6">
        <v>0.2</v>
      </c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>
        <f t="shared" si="9"/>
        <v>1905.0793645209626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</row>
    <row r="20" spans="1:262" s="3" customFormat="1" ht="37.5" customHeight="1">
      <c r="A20" s="21">
        <v>14</v>
      </c>
      <c r="B20" s="59" t="s">
        <v>84</v>
      </c>
      <c r="C20" s="59"/>
      <c r="D20" s="59"/>
      <c r="E20" s="59"/>
      <c r="F20" s="59"/>
      <c r="G20" s="59"/>
      <c r="H20" s="59"/>
      <c r="I20" s="90"/>
      <c r="J20" s="26" t="s">
        <v>257</v>
      </c>
      <c r="K20" s="27">
        <f t="shared" si="7"/>
        <v>0.1392592592592593</v>
      </c>
      <c r="L20" s="27">
        <f t="shared" si="2"/>
        <v>7.1297701543852871E-2</v>
      </c>
      <c r="M20" s="83"/>
      <c r="O20" s="6"/>
      <c r="P20" s="6">
        <v>60</v>
      </c>
      <c r="Q20" s="6"/>
      <c r="R20" s="6"/>
      <c r="S20" s="46" cm="1">
        <f t="array" ref="S20">SUM((Y20:AY20 - K20)^2)</f>
        <v>2.4585185185185196E-2</v>
      </c>
      <c r="T20" s="46">
        <f t="shared" si="3"/>
        <v>4.2495613664989085</v>
      </c>
      <c r="U20" s="6">
        <f t="shared" si="8"/>
        <v>25.243719216695332</v>
      </c>
      <c r="V20" s="6">
        <f t="shared" si="4"/>
        <v>25.598908798989719</v>
      </c>
      <c r="W20" s="6">
        <f t="shared" si="5"/>
        <v>51.197817597979437</v>
      </c>
      <c r="X20" s="6">
        <f t="shared" si="6"/>
        <v>7.1297701543852871E-2</v>
      </c>
      <c r="Y20" s="26">
        <v>0.13</v>
      </c>
      <c r="Z20" s="6">
        <v>0.17</v>
      </c>
      <c r="AA20" s="6">
        <v>0.16</v>
      </c>
      <c r="AB20" s="6">
        <v>0.15</v>
      </c>
      <c r="AC20" s="6">
        <v>0.15</v>
      </c>
      <c r="AD20" s="6">
        <v>0.12</v>
      </c>
      <c r="AE20" s="6">
        <v>0.11</v>
      </c>
      <c r="AF20" s="6">
        <v>0.2</v>
      </c>
      <c r="AG20" s="6">
        <v>0.1</v>
      </c>
      <c r="AH20" s="6">
        <v>0.12</v>
      </c>
      <c r="AI20" s="6">
        <v>0.13</v>
      </c>
      <c r="AJ20" s="6">
        <v>0.12</v>
      </c>
      <c r="AK20" s="6">
        <v>0.1</v>
      </c>
      <c r="AL20" s="6">
        <v>0.1</v>
      </c>
      <c r="AM20" s="6">
        <v>0.13</v>
      </c>
      <c r="AN20" s="6">
        <v>0.18</v>
      </c>
      <c r="AO20" s="6">
        <v>0.11</v>
      </c>
      <c r="AP20" s="6">
        <v>0.1</v>
      </c>
      <c r="AQ20" s="6">
        <v>0.12</v>
      </c>
      <c r="AR20" s="6">
        <v>0.14000000000000001</v>
      </c>
      <c r="AS20" s="6">
        <v>0.2</v>
      </c>
      <c r="AT20" s="6">
        <v>0.17</v>
      </c>
      <c r="AU20" s="6">
        <v>0.19</v>
      </c>
      <c r="AV20" s="6">
        <v>0.14000000000000001</v>
      </c>
      <c r="AW20" s="6">
        <v>0.12</v>
      </c>
      <c r="AX20" s="6">
        <v>0.16</v>
      </c>
      <c r="AY20" s="6">
        <v>0.14000000000000001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>
        <f t="shared" si="9"/>
        <v>1911.7360796740597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</row>
    <row r="21" spans="1:262" s="3" customFormat="1" ht="37.5" customHeight="1">
      <c r="A21" s="21">
        <v>15</v>
      </c>
      <c r="B21" s="59" t="s">
        <v>85</v>
      </c>
      <c r="C21" s="59"/>
      <c r="D21" s="59"/>
      <c r="E21" s="59"/>
      <c r="F21" s="59"/>
      <c r="G21" s="59"/>
      <c r="H21" s="59"/>
      <c r="I21" s="90"/>
      <c r="J21" s="26" t="s">
        <v>258</v>
      </c>
      <c r="K21" s="27">
        <f t="shared" si="7"/>
        <v>0.13962962962962963</v>
      </c>
      <c r="L21" s="27">
        <f t="shared" si="2"/>
        <v>7.1285510709698616E-2</v>
      </c>
      <c r="M21" s="83"/>
      <c r="O21" s="6"/>
      <c r="P21" s="6">
        <v>60</v>
      </c>
      <c r="Q21" s="6"/>
      <c r="R21" s="6"/>
      <c r="S21" s="46" cm="1">
        <f t="array" ref="S21">SUM((Y21:AY21 - K21)^2)</f>
        <v>2.2696296296296298E-2</v>
      </c>
      <c r="T21" s="46">
        <f t="shared" si="3"/>
        <v>4.0722211400012611</v>
      </c>
      <c r="U21" s="6">
        <f t="shared" si="8"/>
        <v>25.199731245398652</v>
      </c>
      <c r="V21" s="6">
        <f t="shared" si="4"/>
        <v>25.526641766072448</v>
      </c>
      <c r="W21" s="6">
        <f t="shared" si="5"/>
        <v>51.053283532144896</v>
      </c>
      <c r="X21" s="6">
        <f t="shared" si="6"/>
        <v>7.1285510709698616E-2</v>
      </c>
      <c r="Y21" s="26">
        <v>0.1</v>
      </c>
      <c r="Z21" s="6">
        <v>0.15</v>
      </c>
      <c r="AA21" s="6">
        <v>0.13</v>
      </c>
      <c r="AB21" s="6">
        <v>0.15</v>
      </c>
      <c r="AC21" s="6">
        <v>0.12</v>
      </c>
      <c r="AD21" s="6">
        <v>0.2</v>
      </c>
      <c r="AE21" s="6">
        <v>0.17</v>
      </c>
      <c r="AF21" s="6">
        <v>0.1</v>
      </c>
      <c r="AG21" s="6">
        <v>0.13</v>
      </c>
      <c r="AH21" s="6">
        <v>0.2</v>
      </c>
      <c r="AI21" s="6">
        <v>0.13</v>
      </c>
      <c r="AJ21" s="6">
        <v>0.15</v>
      </c>
      <c r="AK21" s="6">
        <v>0.19</v>
      </c>
      <c r="AL21" s="6">
        <v>0.14000000000000001</v>
      </c>
      <c r="AM21" s="6">
        <v>0.13</v>
      </c>
      <c r="AN21" s="6">
        <v>0.14000000000000001</v>
      </c>
      <c r="AO21" s="6">
        <v>0.11</v>
      </c>
      <c r="AP21" s="6">
        <v>0.11</v>
      </c>
      <c r="AQ21" s="6">
        <v>0.14000000000000001</v>
      </c>
      <c r="AR21" s="6">
        <v>0.13</v>
      </c>
      <c r="AS21" s="6">
        <v>0.11</v>
      </c>
      <c r="AT21" s="6">
        <v>0.12</v>
      </c>
      <c r="AU21" s="6">
        <v>0.12</v>
      </c>
      <c r="AV21" s="6">
        <v>0.11</v>
      </c>
      <c r="AW21" s="6">
        <v>0.18</v>
      </c>
      <c r="AX21" s="6">
        <v>0.18</v>
      </c>
      <c r="AY21" s="6">
        <v>0.13</v>
      </c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>
        <f t="shared" si="9"/>
        <v>1905.0793645209633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</row>
    <row r="22" spans="1:262" s="3" customFormat="1" ht="37.5" customHeight="1">
      <c r="A22" s="21">
        <v>16</v>
      </c>
      <c r="B22" s="59" t="s">
        <v>126</v>
      </c>
      <c r="C22" s="59"/>
      <c r="D22" s="59"/>
      <c r="E22" s="59"/>
      <c r="F22" s="59"/>
      <c r="G22" s="59"/>
      <c r="H22" s="59"/>
      <c r="I22" s="90"/>
      <c r="J22" s="26" t="s">
        <v>234</v>
      </c>
      <c r="K22" s="27">
        <f t="shared" si="7"/>
        <v>0.15</v>
      </c>
      <c r="L22" s="27">
        <f t="shared" si="2"/>
        <v>7.3180201423211994E-2</v>
      </c>
      <c r="M22" s="83"/>
      <c r="O22" s="6"/>
      <c r="P22" s="6">
        <v>60</v>
      </c>
      <c r="Q22" s="6"/>
      <c r="R22" s="6"/>
      <c r="S22" s="46" cm="1">
        <f t="array" ref="S22">SUM((Y22:AY22 - K22)^2)</f>
        <v>2.5800000000000003E-2</v>
      </c>
      <c r="T22" s="46">
        <f t="shared" si="3"/>
        <v>4.0415693735168849</v>
      </c>
      <c r="U22" s="6">
        <f t="shared" si="8"/>
        <v>24.056261216234407</v>
      </c>
      <c r="V22" s="6">
        <f t="shared" si="4"/>
        <v>24.393400474404</v>
      </c>
      <c r="W22" s="6">
        <f t="shared" si="5"/>
        <v>48.786800948808001</v>
      </c>
      <c r="X22" s="6">
        <f t="shared" si="6"/>
        <v>7.3180201423211994E-2</v>
      </c>
      <c r="Y22" s="26">
        <v>0.1</v>
      </c>
      <c r="Z22" s="6">
        <v>0.21</v>
      </c>
      <c r="AA22" s="6">
        <v>0.14000000000000001</v>
      </c>
      <c r="AB22" s="6">
        <v>0.12</v>
      </c>
      <c r="AC22" s="6">
        <v>0.19</v>
      </c>
      <c r="AD22" s="6">
        <v>0.19</v>
      </c>
      <c r="AE22" s="6">
        <v>0.16</v>
      </c>
      <c r="AF22" s="6">
        <v>0.12</v>
      </c>
      <c r="AG22" s="6">
        <v>0.12</v>
      </c>
      <c r="AH22" s="6">
        <v>0.19</v>
      </c>
      <c r="AI22" s="6">
        <v>0.16</v>
      </c>
      <c r="AJ22" s="6">
        <v>0.15</v>
      </c>
      <c r="AK22" s="6">
        <v>0.11</v>
      </c>
      <c r="AL22" s="6">
        <v>0.1</v>
      </c>
      <c r="AM22" s="6">
        <v>0.19</v>
      </c>
      <c r="AN22" s="6">
        <v>0.18</v>
      </c>
      <c r="AO22" s="6">
        <v>0.13</v>
      </c>
      <c r="AP22" s="6">
        <v>0.14000000000000001</v>
      </c>
      <c r="AQ22" s="6">
        <v>0.17</v>
      </c>
      <c r="AR22" s="6">
        <v>0.15</v>
      </c>
      <c r="AS22" s="6">
        <v>0.18</v>
      </c>
      <c r="AT22" s="6">
        <v>0.14000000000000001</v>
      </c>
      <c r="AU22" s="6">
        <v>0.12</v>
      </c>
      <c r="AV22" s="6">
        <v>0.11</v>
      </c>
      <c r="AW22" s="6">
        <v>0.17</v>
      </c>
      <c r="AX22" s="6">
        <v>0.17</v>
      </c>
      <c r="AY22" s="6">
        <v>0.14000000000000001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>
        <f t="shared" si="9"/>
        <v>1736.1111111111115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</row>
    <row r="23" spans="1:262" s="3" customFormat="1" ht="37.5" customHeight="1">
      <c r="A23" s="21">
        <v>17</v>
      </c>
      <c r="B23" s="59" t="s">
        <v>127</v>
      </c>
      <c r="C23" s="59"/>
      <c r="D23" s="59"/>
      <c r="E23" s="59"/>
      <c r="F23" s="59"/>
      <c r="G23" s="59"/>
      <c r="H23" s="59"/>
      <c r="I23" s="90"/>
      <c r="J23" s="26" t="s">
        <v>235</v>
      </c>
      <c r="K23" s="27">
        <f t="shared" si="7"/>
        <v>0.13703703703703701</v>
      </c>
      <c r="L23" s="27">
        <f t="shared" si="2"/>
        <v>7.1005604898353697E-2</v>
      </c>
      <c r="M23" s="83"/>
      <c r="O23" s="6"/>
      <c r="P23" s="6">
        <v>60</v>
      </c>
      <c r="Q23" s="6"/>
      <c r="R23" s="6"/>
      <c r="S23" s="46" cm="1">
        <f t="array" ref="S23">SUM((Y23:AY23 - K23)^2)</f>
        <v>2.6762962962962964E-2</v>
      </c>
      <c r="T23" s="46">
        <f t="shared" si="3"/>
        <v>4.5056824516635006</v>
      </c>
      <c r="U23" s="6">
        <f t="shared" si="8"/>
        <v>25.51264027364968</v>
      </c>
      <c r="V23" s="6">
        <f t="shared" si="4"/>
        <v>25.907450435885814</v>
      </c>
      <c r="W23" s="6">
        <f t="shared" si="5"/>
        <v>51.814900871771627</v>
      </c>
      <c r="X23" s="6">
        <f t="shared" si="6"/>
        <v>7.1005604898353697E-2</v>
      </c>
      <c r="Y23" s="26">
        <v>0.15</v>
      </c>
      <c r="Z23" s="6">
        <v>0.1</v>
      </c>
      <c r="AA23" s="6">
        <v>0.18</v>
      </c>
      <c r="AB23" s="6">
        <v>0.1</v>
      </c>
      <c r="AC23" s="6">
        <v>0.1</v>
      </c>
      <c r="AD23" s="6">
        <v>0.1</v>
      </c>
      <c r="AE23" s="6">
        <v>0.16</v>
      </c>
      <c r="AF23" s="6">
        <v>0.11</v>
      </c>
      <c r="AG23" s="6">
        <v>0.1</v>
      </c>
      <c r="AH23" s="6">
        <v>0.19</v>
      </c>
      <c r="AI23" s="6">
        <v>0.17</v>
      </c>
      <c r="AJ23" s="6">
        <v>0.1</v>
      </c>
      <c r="AK23" s="6">
        <v>0.16</v>
      </c>
      <c r="AL23" s="6">
        <v>0.19</v>
      </c>
      <c r="AM23" s="6">
        <v>0.14000000000000001</v>
      </c>
      <c r="AN23" s="6">
        <v>0.19</v>
      </c>
      <c r="AO23" s="6">
        <v>0.13</v>
      </c>
      <c r="AP23" s="6">
        <v>0.16</v>
      </c>
      <c r="AQ23" s="6">
        <v>0.1</v>
      </c>
      <c r="AR23" s="6">
        <v>0.11</v>
      </c>
      <c r="AS23" s="6">
        <v>0.16</v>
      </c>
      <c r="AT23" s="6">
        <v>0.15</v>
      </c>
      <c r="AU23" s="6">
        <v>0.11</v>
      </c>
      <c r="AV23" s="6">
        <v>0.15</v>
      </c>
      <c r="AW23" s="6">
        <v>0.15</v>
      </c>
      <c r="AX23" s="6">
        <v>0.13</v>
      </c>
      <c r="AY23" s="6">
        <v>0.11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f t="shared" si="9"/>
        <v>1952.684441197955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</row>
    <row r="24" spans="1:262" s="3" customFormat="1" ht="37.5" customHeight="1">
      <c r="A24" s="21">
        <v>18</v>
      </c>
      <c r="B24" s="59" t="s">
        <v>128</v>
      </c>
      <c r="C24" s="59"/>
      <c r="D24" s="59"/>
      <c r="E24" s="59"/>
      <c r="F24" s="59"/>
      <c r="G24" s="59"/>
      <c r="H24" s="59"/>
      <c r="I24" s="90"/>
      <c r="J24" s="26" t="s">
        <v>259</v>
      </c>
      <c r="K24" s="27">
        <f t="shared" si="7"/>
        <v>0.13925925925925925</v>
      </c>
      <c r="L24" s="27">
        <f t="shared" si="2"/>
        <v>7.1281716050871816E-2</v>
      </c>
      <c r="M24" s="83"/>
      <c r="O24" s="6"/>
      <c r="P24" s="6">
        <v>60</v>
      </c>
      <c r="Q24" s="6"/>
      <c r="R24" s="6"/>
      <c r="S24" s="46" cm="1">
        <f t="array" ref="S24">SUM((Y24:AY24 - K24)^2)</f>
        <v>2.4185185185185192E-2</v>
      </c>
      <c r="T24" s="46">
        <f t="shared" si="3"/>
        <v>4.2148494988152789</v>
      </c>
      <c r="U24" s="6">
        <f t="shared" si="8"/>
        <v>25.243719216695343</v>
      </c>
      <c r="V24" s="6">
        <f t="shared" si="4"/>
        <v>25.59316932677579</v>
      </c>
      <c r="W24" s="6">
        <f t="shared" si="5"/>
        <v>51.18633865355158</v>
      </c>
      <c r="X24" s="6">
        <f t="shared" si="6"/>
        <v>7.1281716050871816E-2</v>
      </c>
      <c r="Y24" s="26">
        <v>0.15</v>
      </c>
      <c r="Z24" s="6">
        <v>0.17</v>
      </c>
      <c r="AA24" s="6">
        <v>0.12</v>
      </c>
      <c r="AB24" s="6">
        <v>0.1</v>
      </c>
      <c r="AC24" s="6">
        <v>0.18</v>
      </c>
      <c r="AD24" s="6">
        <v>0.2</v>
      </c>
      <c r="AE24" s="6">
        <v>0.2</v>
      </c>
      <c r="AF24" s="6">
        <v>0.11</v>
      </c>
      <c r="AG24" s="6">
        <v>0.17</v>
      </c>
      <c r="AH24" s="6">
        <v>0.12</v>
      </c>
      <c r="AI24" s="6">
        <v>0.11</v>
      </c>
      <c r="AJ24" s="6">
        <v>0.16</v>
      </c>
      <c r="AK24" s="6">
        <v>0.19</v>
      </c>
      <c r="AL24" s="6">
        <v>0.11</v>
      </c>
      <c r="AM24" s="6">
        <v>0.12</v>
      </c>
      <c r="AN24" s="6">
        <v>0.15</v>
      </c>
      <c r="AO24" s="6">
        <v>0.16</v>
      </c>
      <c r="AP24" s="6">
        <v>0.12</v>
      </c>
      <c r="AQ24" s="6">
        <v>0.11</v>
      </c>
      <c r="AR24" s="6">
        <v>0.15</v>
      </c>
      <c r="AS24" s="6">
        <v>0.11</v>
      </c>
      <c r="AT24" s="6">
        <v>0.11</v>
      </c>
      <c r="AU24" s="6">
        <v>0.11</v>
      </c>
      <c r="AV24" s="6">
        <v>0.14000000000000001</v>
      </c>
      <c r="AW24" s="6">
        <v>0.13</v>
      </c>
      <c r="AX24" s="6">
        <v>0.12</v>
      </c>
      <c r="AY24" s="6">
        <v>0.14000000000000001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>
        <f t="shared" si="9"/>
        <v>1911.7360796740611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</row>
    <row r="25" spans="1:262" s="3" customFormat="1" ht="37.5" customHeight="1">
      <c r="A25" s="21">
        <v>19</v>
      </c>
      <c r="B25" s="59" t="s">
        <v>129</v>
      </c>
      <c r="C25" s="59"/>
      <c r="D25" s="59"/>
      <c r="E25" s="59"/>
      <c r="F25" s="59"/>
      <c r="G25" s="59"/>
      <c r="H25" s="59"/>
      <c r="I25" s="90"/>
      <c r="J25" s="26" t="s">
        <v>260</v>
      </c>
      <c r="K25" s="27">
        <f t="shared" si="7"/>
        <v>0.1581481481481482</v>
      </c>
      <c r="L25" s="27">
        <f t="shared" si="2"/>
        <v>7.4786284791740792E-2</v>
      </c>
      <c r="M25" s="83"/>
      <c r="O25" s="6"/>
      <c r="P25" s="6">
        <v>60</v>
      </c>
      <c r="Q25" s="6"/>
      <c r="R25" s="6"/>
      <c r="S25" s="46" cm="1">
        <f t="array" ref="S25">SUM((Y25:AY25 - K25)^2)</f>
        <v>3.1407407407407398E-2</v>
      </c>
      <c r="T25" s="46">
        <f t="shared" si="3"/>
        <v>4.229444955021922</v>
      </c>
      <c r="U25" s="6">
        <f t="shared" si="8"/>
        <v>23.263024312429767</v>
      </c>
      <c r="V25" s="6">
        <f t="shared" si="4"/>
        <v>23.644375753829046</v>
      </c>
      <c r="W25" s="6">
        <f t="shared" si="5"/>
        <v>47.288751507658091</v>
      </c>
      <c r="X25" s="6">
        <f t="shared" si="6"/>
        <v>7.4786284791740792E-2</v>
      </c>
      <c r="Y25" s="26">
        <v>0.11</v>
      </c>
      <c r="Z25" s="6">
        <v>0.15</v>
      </c>
      <c r="AA25" s="6">
        <v>0.19</v>
      </c>
      <c r="AB25" s="6">
        <v>0.18</v>
      </c>
      <c r="AC25" s="6">
        <v>0.11</v>
      </c>
      <c r="AD25" s="6">
        <v>0.2</v>
      </c>
      <c r="AE25" s="6">
        <v>0.1</v>
      </c>
      <c r="AF25" s="6">
        <v>0.1</v>
      </c>
      <c r="AG25" s="6">
        <v>0.16</v>
      </c>
      <c r="AH25" s="6">
        <v>0.18</v>
      </c>
      <c r="AI25" s="6">
        <v>0.14000000000000001</v>
      </c>
      <c r="AJ25" s="6">
        <v>0.17</v>
      </c>
      <c r="AK25" s="6">
        <v>0.19</v>
      </c>
      <c r="AL25" s="6">
        <v>0.16</v>
      </c>
      <c r="AM25" s="6">
        <v>0.21</v>
      </c>
      <c r="AN25" s="6">
        <v>0.17</v>
      </c>
      <c r="AO25" s="6">
        <v>0.18</v>
      </c>
      <c r="AP25" s="6">
        <v>0.11</v>
      </c>
      <c r="AQ25" s="6">
        <v>0.16</v>
      </c>
      <c r="AR25" s="6">
        <v>0.12</v>
      </c>
      <c r="AS25" s="6">
        <v>0.18</v>
      </c>
      <c r="AT25" s="6">
        <v>0.14000000000000001</v>
      </c>
      <c r="AU25" s="6">
        <v>0.13</v>
      </c>
      <c r="AV25" s="6">
        <v>0.2</v>
      </c>
      <c r="AW25" s="6">
        <v>0.2</v>
      </c>
      <c r="AX25" s="6">
        <v>0.13</v>
      </c>
      <c r="AY25" s="6">
        <v>0.2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>
        <f t="shared" si="9"/>
        <v>1623.5049004820953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</row>
    <row r="26" spans="1:262" s="3" customFormat="1" ht="37.5" customHeight="1">
      <c r="A26" s="21">
        <v>20</v>
      </c>
      <c r="B26" s="59" t="s">
        <v>130</v>
      </c>
      <c r="C26" s="59"/>
      <c r="D26" s="59"/>
      <c r="E26" s="59"/>
      <c r="F26" s="59"/>
      <c r="G26" s="59"/>
      <c r="H26" s="59"/>
      <c r="I26" s="90"/>
      <c r="J26" s="26" t="s">
        <v>236</v>
      </c>
      <c r="K26" s="27">
        <f t="shared" si="7"/>
        <v>0.14777777777777781</v>
      </c>
      <c r="L26" s="27">
        <f t="shared" si="2"/>
        <v>7.2928375535278631E-2</v>
      </c>
      <c r="M26" s="83"/>
      <c r="O26" s="6"/>
      <c r="P26" s="6">
        <v>60</v>
      </c>
      <c r="Q26" s="6"/>
      <c r="R26" s="6"/>
      <c r="S26" s="46" cm="1">
        <f t="array" ref="S26">SUM((Y26:AY26 - K26)^2)</f>
        <v>2.9066666666666664E-2</v>
      </c>
      <c r="T26" s="46">
        <f t="shared" si="3"/>
        <v>4.3543158414618173</v>
      </c>
      <c r="U26" s="6">
        <f t="shared" si="8"/>
        <v>24.287780121172602</v>
      </c>
      <c r="V26" s="6">
        <f t="shared" si="4"/>
        <v>24.675014278853666</v>
      </c>
      <c r="W26" s="6">
        <f t="shared" si="5"/>
        <v>49.350028557707333</v>
      </c>
      <c r="X26" s="6">
        <f t="shared" si="6"/>
        <v>7.2928375535278631E-2</v>
      </c>
      <c r="Y26" s="26">
        <v>0.14000000000000001</v>
      </c>
      <c r="Z26" s="6">
        <v>0.14000000000000001</v>
      </c>
      <c r="AA26" s="6">
        <v>0.12</v>
      </c>
      <c r="AB26" s="6">
        <v>0.19</v>
      </c>
      <c r="AC26" s="6">
        <v>0.21</v>
      </c>
      <c r="AD26" s="6">
        <v>0.16</v>
      </c>
      <c r="AE26" s="6">
        <v>0.15</v>
      </c>
      <c r="AF26" s="6">
        <v>0.11</v>
      </c>
      <c r="AG26" s="6">
        <v>0.12</v>
      </c>
      <c r="AH26" s="6">
        <v>0.15</v>
      </c>
      <c r="AI26" s="6">
        <v>0.18</v>
      </c>
      <c r="AJ26" s="6">
        <v>0.16</v>
      </c>
      <c r="AK26" s="6">
        <v>0.14000000000000001</v>
      </c>
      <c r="AL26" s="6">
        <v>0.12</v>
      </c>
      <c r="AM26" s="6">
        <v>0.12</v>
      </c>
      <c r="AN26" s="6">
        <v>0.14000000000000001</v>
      </c>
      <c r="AO26" s="6">
        <v>0.15</v>
      </c>
      <c r="AP26" s="6">
        <v>0.21</v>
      </c>
      <c r="AQ26" s="6">
        <v>0.12</v>
      </c>
      <c r="AR26" s="6">
        <v>0.1</v>
      </c>
      <c r="AS26" s="6">
        <v>0.18</v>
      </c>
      <c r="AT26" s="6">
        <v>0.19</v>
      </c>
      <c r="AU26" s="6">
        <v>0.13</v>
      </c>
      <c r="AV26" s="6">
        <v>0.21</v>
      </c>
      <c r="AW26" s="6">
        <v>0.1</v>
      </c>
      <c r="AX26" s="6">
        <v>0.13</v>
      </c>
      <c r="AY26" s="6">
        <v>0.12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f t="shared" si="9"/>
        <v>1769.6887896432809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</row>
    <row r="27" spans="1:262" s="3" customFormat="1" ht="37.5" customHeight="1">
      <c r="A27" s="21">
        <v>21</v>
      </c>
      <c r="B27" s="59" t="s">
        <v>131</v>
      </c>
      <c r="C27" s="59"/>
      <c r="D27" s="59"/>
      <c r="E27" s="59"/>
      <c r="F27" s="59"/>
      <c r="G27" s="59"/>
      <c r="H27" s="59"/>
      <c r="I27" s="90"/>
      <c r="J27" s="26" t="s">
        <v>261</v>
      </c>
      <c r="K27" s="27">
        <f t="shared" si="7"/>
        <v>0.15050000000000002</v>
      </c>
      <c r="L27" s="27">
        <f t="shared" si="2"/>
        <v>7.3490055121454262E-2</v>
      </c>
      <c r="M27" s="83"/>
      <c r="O27" s="6"/>
      <c r="P27" s="6">
        <v>60</v>
      </c>
      <c r="Q27" s="6"/>
      <c r="R27" s="6"/>
      <c r="S27" s="46" cm="1">
        <f t="array" ref="S27">SUM((Y27:AR27 - K27)^2)</f>
        <v>1.7095000000000006E-2</v>
      </c>
      <c r="T27" s="46">
        <f>(1/K27) * SQRT(S27 / (20 *19))*100</f>
        <v>4.4566266639394714</v>
      </c>
      <c r="U27" s="6">
        <f t="shared" si="8"/>
        <v>24.005111690724803</v>
      </c>
      <c r="V27" s="6">
        <f t="shared" si="4"/>
        <v>24.415300704802078</v>
      </c>
      <c r="W27" s="6">
        <f t="shared" si="5"/>
        <v>48.830601409604157</v>
      </c>
      <c r="X27" s="6">
        <f t="shared" si="6"/>
        <v>7.3490055121454262E-2</v>
      </c>
      <c r="Y27" s="26">
        <v>0.14000000000000001</v>
      </c>
      <c r="Z27" s="6">
        <v>0.16</v>
      </c>
      <c r="AA27" s="6">
        <v>0.17</v>
      </c>
      <c r="AB27" s="6">
        <v>0.14000000000000001</v>
      </c>
      <c r="AC27" s="6">
        <v>0.11</v>
      </c>
      <c r="AD27" s="6">
        <v>0.13</v>
      </c>
      <c r="AE27" s="6">
        <v>0.19</v>
      </c>
      <c r="AF27" s="6">
        <v>0.12</v>
      </c>
      <c r="AG27" s="6">
        <v>0.16</v>
      </c>
      <c r="AH27" s="6">
        <v>0.15</v>
      </c>
      <c r="AI27" s="6">
        <v>0.16</v>
      </c>
      <c r="AJ27" s="6">
        <v>0.13</v>
      </c>
      <c r="AK27" s="6">
        <v>0.2</v>
      </c>
      <c r="AL27" s="6">
        <v>0.19</v>
      </c>
      <c r="AM27" s="6">
        <v>0.1</v>
      </c>
      <c r="AN27" s="6">
        <v>0.16</v>
      </c>
      <c r="AO27" s="6">
        <v>0.1</v>
      </c>
      <c r="AP27" s="6">
        <v>0.14000000000000001</v>
      </c>
      <c r="AQ27" s="6">
        <v>0.17</v>
      </c>
      <c r="AR27" s="6">
        <v>0.19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f t="shared" si="9"/>
        <v>1728.7361618525179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</row>
    <row r="28" spans="1:262" s="3" customFormat="1" ht="29.25" customHeight="1">
      <c r="A28" s="21">
        <v>22</v>
      </c>
      <c r="B28" s="59" t="s">
        <v>132</v>
      </c>
      <c r="C28" s="59"/>
      <c r="D28" s="59"/>
      <c r="E28" s="59"/>
      <c r="F28" s="59"/>
      <c r="G28" s="59"/>
      <c r="H28" s="59"/>
      <c r="I28" s="90"/>
      <c r="J28" s="26" t="s">
        <v>224</v>
      </c>
      <c r="K28" s="27">
        <f t="shared" ref="K28" si="10">AVERAGE(Y28:BH28)</f>
        <v>0.14699999999999999</v>
      </c>
      <c r="L28" s="27">
        <f t="shared" ref="L28" si="11">X28</f>
        <v>7.2628276113563858E-2</v>
      </c>
      <c r="M28" s="83"/>
      <c r="O28" s="6"/>
      <c r="P28" s="6">
        <v>60</v>
      </c>
      <c r="Q28" s="6"/>
      <c r="R28" s="6"/>
      <c r="S28" s="46" cm="1">
        <f t="array" ref="S28">SUM((Y28:AR28 - K28)^2)</f>
        <v>1.3419999999999998E-2</v>
      </c>
      <c r="T28" s="46">
        <f t="shared" ref="T28:T37" si="12">(1/K28) * SQRT(S28 / (20 *19))*100</f>
        <v>4.0426591387435034</v>
      </c>
      <c r="U28" s="6">
        <f t="shared" ref="U28" si="13">SQRT(BJ28/3)</f>
        <v>24.370465444364818</v>
      </c>
      <c r="V28" s="6">
        <f t="shared" ref="V28" si="14">SQRT(T28^2+U28^2)</f>
        <v>24.703495276722403</v>
      </c>
      <c r="W28" s="6">
        <f t="shared" ref="W28" si="15">V28*2</f>
        <v>49.406990553444807</v>
      </c>
      <c r="X28" s="6">
        <f t="shared" ref="X28" si="16">W28*0.01*K28</f>
        <v>7.2628276113563858E-2</v>
      </c>
      <c r="Y28" s="26">
        <v>0.2</v>
      </c>
      <c r="Z28" s="6">
        <v>0.15</v>
      </c>
      <c r="AA28" s="6">
        <v>0.14000000000000001</v>
      </c>
      <c r="AB28" s="6">
        <v>0.12</v>
      </c>
      <c r="AC28" s="6">
        <v>0.11</v>
      </c>
      <c r="AD28" s="6">
        <v>0.17</v>
      </c>
      <c r="AE28" s="6">
        <v>0.15</v>
      </c>
      <c r="AF28" s="6">
        <v>0.15</v>
      </c>
      <c r="AG28" s="6">
        <v>0.13</v>
      </c>
      <c r="AH28" s="6">
        <v>0.13</v>
      </c>
      <c r="AI28" s="6">
        <v>0.13</v>
      </c>
      <c r="AJ28" s="6">
        <v>0.16</v>
      </c>
      <c r="AK28" s="6">
        <v>0.11</v>
      </c>
      <c r="AL28" s="6">
        <v>0.18</v>
      </c>
      <c r="AM28" s="6">
        <v>0.18</v>
      </c>
      <c r="AN28" s="6">
        <v>0.14000000000000001</v>
      </c>
      <c r="AO28" s="6">
        <v>0.15</v>
      </c>
      <c r="AP28" s="6">
        <v>0.14000000000000001</v>
      </c>
      <c r="AQ28" s="6">
        <v>0.11</v>
      </c>
      <c r="AR28" s="6">
        <v>0.19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>
        <f t="shared" ref="BJ28" si="17">(15+4/K28)^2</f>
        <v>1781.7587579249389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</row>
    <row r="29" spans="1:262" s="3" customFormat="1" ht="29.25" customHeight="1">
      <c r="A29" s="21">
        <v>23</v>
      </c>
      <c r="B29" s="59" t="s">
        <v>167</v>
      </c>
      <c r="C29" s="59"/>
      <c r="D29" s="59"/>
      <c r="E29" s="59"/>
      <c r="F29" s="59"/>
      <c r="G29" s="59"/>
      <c r="H29" s="59"/>
      <c r="I29" s="90">
        <v>46099</v>
      </c>
      <c r="J29" s="26" t="s">
        <v>237</v>
      </c>
      <c r="K29" s="27">
        <f t="shared" si="7"/>
        <v>0.14950000000000002</v>
      </c>
      <c r="L29" s="27">
        <f t="shared" si="2"/>
        <v>7.3448863641144502E-2</v>
      </c>
      <c r="M29" s="83">
        <f>0.3</f>
        <v>0.3</v>
      </c>
      <c r="O29" s="6"/>
      <c r="P29" s="6">
        <v>60</v>
      </c>
      <c r="Q29" s="6"/>
      <c r="R29" s="6"/>
      <c r="S29" s="46" cm="1">
        <f t="array" ref="S29">SUM((Y29:AR29 - K29)^2)</f>
        <v>1.8895000000000006E-2</v>
      </c>
      <c r="T29" s="46">
        <f t="shared" si="12"/>
        <v>4.7167239238939498</v>
      </c>
      <c r="U29" s="6">
        <f t="shared" si="8"/>
        <v>24.107752879038383</v>
      </c>
      <c r="V29" s="6">
        <f t="shared" si="4"/>
        <v>24.564837338175415</v>
      </c>
      <c r="W29" s="6">
        <f t="shared" si="5"/>
        <v>49.129674676350831</v>
      </c>
      <c r="X29" s="6">
        <f t="shared" si="6"/>
        <v>7.3448863641144502E-2</v>
      </c>
      <c r="Y29" s="26">
        <v>0.12</v>
      </c>
      <c r="Z29" s="6">
        <v>0.17</v>
      </c>
      <c r="AA29" s="6">
        <v>0.17</v>
      </c>
      <c r="AB29" s="6">
        <v>0.15</v>
      </c>
      <c r="AC29" s="6">
        <v>0.1</v>
      </c>
      <c r="AD29" s="6">
        <v>0.17</v>
      </c>
      <c r="AE29" s="6">
        <v>0.14000000000000001</v>
      </c>
      <c r="AF29" s="6">
        <v>0.19</v>
      </c>
      <c r="AG29" s="6">
        <v>0.19</v>
      </c>
      <c r="AH29" s="6">
        <v>0.19</v>
      </c>
      <c r="AI29" s="6">
        <v>0.15</v>
      </c>
      <c r="AJ29" s="6">
        <v>0.21</v>
      </c>
      <c r="AK29" s="6">
        <v>0.15</v>
      </c>
      <c r="AL29" s="6">
        <v>0.16</v>
      </c>
      <c r="AM29" s="6">
        <v>0.13</v>
      </c>
      <c r="AN29" s="6">
        <v>0.1</v>
      </c>
      <c r="AO29" s="6">
        <v>0.14000000000000001</v>
      </c>
      <c r="AP29" s="6">
        <v>0.12</v>
      </c>
      <c r="AQ29" s="6">
        <v>0.12</v>
      </c>
      <c r="AR29" s="6">
        <v>0.12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>
        <f t="shared" si="9"/>
        <v>1743.5512466303505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</row>
    <row r="30" spans="1:262" s="3" customFormat="1" ht="29.25" customHeight="1">
      <c r="A30" s="21">
        <v>24</v>
      </c>
      <c r="B30" s="59" t="s">
        <v>168</v>
      </c>
      <c r="C30" s="59"/>
      <c r="D30" s="59"/>
      <c r="E30" s="59"/>
      <c r="F30" s="59"/>
      <c r="G30" s="59"/>
      <c r="H30" s="59"/>
      <c r="I30" s="90"/>
      <c r="J30" s="26" t="s">
        <v>238</v>
      </c>
      <c r="K30" s="27">
        <f t="shared" ref="K30" si="18">AVERAGE(Y30:BH30)</f>
        <v>0.1305</v>
      </c>
      <c r="L30" s="27">
        <f t="shared" ref="L30" si="19">X30</f>
        <v>6.9936653981838751E-2</v>
      </c>
      <c r="M30" s="83"/>
      <c r="O30" s="6"/>
      <c r="P30" s="6">
        <v>60</v>
      </c>
      <c r="Q30" s="6"/>
      <c r="R30" s="6"/>
      <c r="S30" s="46" cm="1">
        <f t="array" ref="S30">SUM((Y30:AR30 - K30)^2)</f>
        <v>1.5095000000000001E-2</v>
      </c>
      <c r="T30" s="46">
        <f t="shared" si="12"/>
        <v>4.8296343165332933</v>
      </c>
      <c r="U30" s="6">
        <f t="shared" ref="U30" si="20">SQRT(BJ30/3)</f>
        <v>26.356814013005334</v>
      </c>
      <c r="V30" s="6">
        <f t="shared" ref="V30" si="21">SQRT(T30^2+U30^2)</f>
        <v>26.795652866604883</v>
      </c>
      <c r="W30" s="6">
        <f t="shared" ref="W30" si="22">V30*2</f>
        <v>53.591305733209765</v>
      </c>
      <c r="X30" s="6">
        <f t="shared" ref="X30" si="23">W30*0.01*K30</f>
        <v>6.9936653981838751E-2</v>
      </c>
      <c r="Y30" s="26">
        <v>0.16</v>
      </c>
      <c r="Z30" s="6">
        <v>0.13</v>
      </c>
      <c r="AA30" s="6">
        <v>0.12</v>
      </c>
      <c r="AB30" s="6">
        <v>0.15</v>
      </c>
      <c r="AC30" s="6">
        <v>0.1</v>
      </c>
      <c r="AD30" s="6">
        <v>0.11</v>
      </c>
      <c r="AE30" s="6">
        <v>0.11</v>
      </c>
      <c r="AF30" s="6">
        <v>0.14000000000000001</v>
      </c>
      <c r="AG30" s="6">
        <v>0.12</v>
      </c>
      <c r="AH30" s="6">
        <v>0.11</v>
      </c>
      <c r="AI30" s="6">
        <v>0.18</v>
      </c>
      <c r="AJ30" s="6">
        <v>0.13</v>
      </c>
      <c r="AK30" s="6">
        <v>0.18</v>
      </c>
      <c r="AL30" s="6">
        <v>0.1</v>
      </c>
      <c r="AM30" s="6">
        <v>0.11</v>
      </c>
      <c r="AN30" s="6">
        <v>0.12</v>
      </c>
      <c r="AO30" s="6">
        <v>0.1</v>
      </c>
      <c r="AP30" s="6">
        <v>0.19</v>
      </c>
      <c r="AQ30" s="6">
        <v>0.14000000000000001</v>
      </c>
      <c r="AR30" s="6">
        <v>0.11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>
        <f t="shared" ref="BJ30" si="24">(15+4/K30)^2</f>
        <v>2084.0449347484628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</row>
    <row r="31" spans="1:262" s="3" customFormat="1" ht="29.25" customHeight="1">
      <c r="A31" s="21">
        <v>25</v>
      </c>
      <c r="B31" s="59" t="s">
        <v>169</v>
      </c>
      <c r="C31" s="59"/>
      <c r="D31" s="59"/>
      <c r="E31" s="59"/>
      <c r="F31" s="59"/>
      <c r="G31" s="59"/>
      <c r="H31" s="59"/>
      <c r="I31" s="90"/>
      <c r="J31" s="26" t="s">
        <v>262</v>
      </c>
      <c r="K31" s="27">
        <f t="shared" si="7"/>
        <v>0.1565</v>
      </c>
      <c r="L31" s="27">
        <f t="shared" si="2"/>
        <v>7.529622756795265E-2</v>
      </c>
      <c r="M31" s="83"/>
      <c r="O31" s="6"/>
      <c r="P31" s="6">
        <v>60</v>
      </c>
      <c r="Q31" s="6"/>
      <c r="R31" s="6"/>
      <c r="S31" s="46" cm="1">
        <f t="array" ref="S31">SUM((Y31:AR31 - K31)^2)</f>
        <v>2.8255000000000013E-2</v>
      </c>
      <c r="T31" s="46">
        <f t="shared" si="12"/>
        <v>5.5098720731417163</v>
      </c>
      <c r="U31" s="6">
        <f t="shared" si="8"/>
        <v>23.416810438857183</v>
      </c>
      <c r="V31" s="6">
        <f t="shared" si="4"/>
        <v>24.056302737365062</v>
      </c>
      <c r="W31" s="6">
        <f t="shared" si="5"/>
        <v>48.112605474730124</v>
      </c>
      <c r="X31" s="6">
        <f t="shared" si="6"/>
        <v>7.529622756795265E-2</v>
      </c>
      <c r="Y31" s="26">
        <v>0.1</v>
      </c>
      <c r="Z31" s="6">
        <v>0.15</v>
      </c>
      <c r="AA31" s="6">
        <v>0.19</v>
      </c>
      <c r="AB31" s="6">
        <v>0.1</v>
      </c>
      <c r="AC31" s="6">
        <v>0.13</v>
      </c>
      <c r="AD31" s="6">
        <v>0.11</v>
      </c>
      <c r="AE31" s="6">
        <v>0.2</v>
      </c>
      <c r="AF31" s="6">
        <v>0.13</v>
      </c>
      <c r="AG31" s="6">
        <v>0.16</v>
      </c>
      <c r="AH31" s="6">
        <v>0.2</v>
      </c>
      <c r="AI31" s="6">
        <v>0.2</v>
      </c>
      <c r="AJ31" s="6">
        <v>0.18</v>
      </c>
      <c r="AK31" s="6">
        <v>0.11</v>
      </c>
      <c r="AL31" s="6">
        <v>0.12</v>
      </c>
      <c r="AM31" s="6">
        <v>0.19</v>
      </c>
      <c r="AN31" s="6">
        <v>0.18</v>
      </c>
      <c r="AO31" s="6">
        <v>0.19</v>
      </c>
      <c r="AP31" s="6">
        <v>0.11</v>
      </c>
      <c r="AQ31" s="6">
        <v>0.2</v>
      </c>
      <c r="AR31" s="6">
        <v>0.18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f t="shared" si="9"/>
        <v>1645.0410333881125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</row>
    <row r="32" spans="1:262" s="3" customFormat="1" ht="29.25" customHeight="1">
      <c r="A32" s="21">
        <v>26</v>
      </c>
      <c r="B32" s="59" t="s">
        <v>170</v>
      </c>
      <c r="C32" s="59"/>
      <c r="D32" s="59"/>
      <c r="E32" s="59"/>
      <c r="F32" s="59"/>
      <c r="G32" s="59"/>
      <c r="H32" s="59"/>
      <c r="I32" s="90"/>
      <c r="J32" s="26" t="s">
        <v>263</v>
      </c>
      <c r="K32" s="27">
        <f t="shared" ref="K32" si="25">AVERAGE(Y32:BH32)</f>
        <v>0.15000000000000002</v>
      </c>
      <c r="L32" s="27">
        <f t="shared" ref="L32" si="26">X32</f>
        <v>7.386984761027271E-2</v>
      </c>
      <c r="M32" s="83"/>
      <c r="O32" s="6"/>
      <c r="P32" s="6">
        <v>60</v>
      </c>
      <c r="Q32" s="6"/>
      <c r="R32" s="6"/>
      <c r="S32" s="46" cm="1">
        <f t="array" ref="S32">SUM((Y32:AR32 - K32)^2)</f>
        <v>2.3599999999999999E-2</v>
      </c>
      <c r="T32" s="46">
        <f t="shared" si="12"/>
        <v>5.2537928376827487</v>
      </c>
      <c r="U32" s="6">
        <f t="shared" ref="U32" si="27">SQRT(BJ32/3)</f>
        <v>24.056261216234404</v>
      </c>
      <c r="V32" s="6">
        <f t="shared" ref="V32" si="28">SQRT(T32^2+U32^2)</f>
        <v>24.623282536757568</v>
      </c>
      <c r="W32" s="6">
        <f t="shared" ref="W32" si="29">V32*2</f>
        <v>49.246565073515136</v>
      </c>
      <c r="X32" s="6">
        <f t="shared" ref="X32" si="30">W32*0.01*K32</f>
        <v>7.386984761027271E-2</v>
      </c>
      <c r="Y32" s="26">
        <v>0.13</v>
      </c>
      <c r="Z32" s="6">
        <v>0.13</v>
      </c>
      <c r="AA32" s="6">
        <v>0.1</v>
      </c>
      <c r="AB32" s="6">
        <v>0.12</v>
      </c>
      <c r="AC32" s="6">
        <v>0.11</v>
      </c>
      <c r="AD32" s="6">
        <v>0.18</v>
      </c>
      <c r="AE32" s="6">
        <v>0.16</v>
      </c>
      <c r="AF32" s="6">
        <v>0.2</v>
      </c>
      <c r="AG32" s="6">
        <v>0.19</v>
      </c>
      <c r="AH32" s="6">
        <v>0.1</v>
      </c>
      <c r="AI32" s="6">
        <v>0.17</v>
      </c>
      <c r="AJ32" s="6">
        <v>0.2</v>
      </c>
      <c r="AK32" s="6">
        <v>0.15</v>
      </c>
      <c r="AL32" s="6">
        <v>0.19</v>
      </c>
      <c r="AM32" s="6">
        <v>0.1</v>
      </c>
      <c r="AN32" s="6">
        <v>0.13</v>
      </c>
      <c r="AO32" s="6">
        <v>0.14000000000000001</v>
      </c>
      <c r="AP32" s="6">
        <v>0.14000000000000001</v>
      </c>
      <c r="AQ32" s="6">
        <v>0.16</v>
      </c>
      <c r="AR32" s="6">
        <v>0.2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>
        <f t="shared" ref="BJ32" si="31">(15+4/K32)^2</f>
        <v>1736.1111111111109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</row>
    <row r="33" spans="1:262" s="3" customFormat="1" ht="29.25" customHeight="1">
      <c r="A33" s="21">
        <v>27</v>
      </c>
      <c r="B33" s="59" t="s">
        <v>171</v>
      </c>
      <c r="C33" s="59"/>
      <c r="D33" s="59"/>
      <c r="E33" s="59"/>
      <c r="F33" s="59"/>
      <c r="G33" s="59"/>
      <c r="H33" s="59"/>
      <c r="I33" s="90"/>
      <c r="J33" s="26" t="s">
        <v>239</v>
      </c>
      <c r="K33" s="27">
        <f t="shared" si="7"/>
        <v>0.15150000000000002</v>
      </c>
      <c r="L33" s="27">
        <f t="shared" si="2"/>
        <v>7.3814531386845836E-2</v>
      </c>
      <c r="M33" s="83"/>
      <c r="O33" s="6"/>
      <c r="P33" s="6">
        <v>60</v>
      </c>
      <c r="Q33" s="6"/>
      <c r="R33" s="6"/>
      <c r="S33" s="46" cm="1">
        <f t="array" ref="S33">SUM((Y33:AR33 - K33)^2)</f>
        <v>1.9254999999999998E-2</v>
      </c>
      <c r="T33" s="46">
        <f t="shared" si="12"/>
        <v>4.6985876229648689</v>
      </c>
      <c r="U33" s="6">
        <f t="shared" si="8"/>
        <v>23.903825501596881</v>
      </c>
      <c r="V33" s="6">
        <f t="shared" si="4"/>
        <v>24.361231480807206</v>
      </c>
      <c r="W33" s="6">
        <f t="shared" si="5"/>
        <v>48.722462961614411</v>
      </c>
      <c r="X33" s="6">
        <f t="shared" si="6"/>
        <v>7.3814531386845836E-2</v>
      </c>
      <c r="Y33" s="26">
        <v>0.15</v>
      </c>
      <c r="Z33" s="6">
        <v>0.1</v>
      </c>
      <c r="AA33" s="6">
        <v>0.12</v>
      </c>
      <c r="AB33" s="6">
        <v>0.19</v>
      </c>
      <c r="AC33" s="6">
        <v>0.17</v>
      </c>
      <c r="AD33" s="6">
        <v>0.18</v>
      </c>
      <c r="AE33" s="6">
        <v>0.18</v>
      </c>
      <c r="AF33" s="6">
        <v>0.11</v>
      </c>
      <c r="AG33" s="6">
        <v>0.1</v>
      </c>
      <c r="AH33" s="6">
        <v>0.15</v>
      </c>
      <c r="AI33" s="6">
        <v>0.13</v>
      </c>
      <c r="AJ33" s="6">
        <v>0.17</v>
      </c>
      <c r="AK33" s="6">
        <v>0.19</v>
      </c>
      <c r="AL33" s="6">
        <v>0.17</v>
      </c>
      <c r="AM33" s="6">
        <v>0.17</v>
      </c>
      <c r="AN33" s="6">
        <v>0.18</v>
      </c>
      <c r="AO33" s="6">
        <v>0.18</v>
      </c>
      <c r="AP33" s="6">
        <v>0.16</v>
      </c>
      <c r="AQ33" s="6">
        <v>0.13</v>
      </c>
      <c r="AR33" s="6">
        <v>0.1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>
        <f t="shared" si="9"/>
        <v>1714.1786208323801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</row>
    <row r="34" spans="1:262" s="3" customFormat="1" ht="29.25" customHeight="1">
      <c r="A34" s="21">
        <v>28</v>
      </c>
      <c r="B34" s="59" t="s">
        <v>172</v>
      </c>
      <c r="C34" s="59"/>
      <c r="D34" s="59"/>
      <c r="E34" s="59"/>
      <c r="F34" s="59"/>
      <c r="G34" s="59"/>
      <c r="H34" s="59"/>
      <c r="I34" s="90"/>
      <c r="J34" s="26" t="s">
        <v>240</v>
      </c>
      <c r="K34" s="27">
        <f t="shared" ref="K34" si="32">AVERAGE(Y34:BH34)</f>
        <v>0.152</v>
      </c>
      <c r="L34" s="27">
        <f t="shared" ref="L34" si="33">X34</f>
        <v>7.4415127682952859E-2</v>
      </c>
      <c r="M34" s="83"/>
      <c r="O34" s="6"/>
      <c r="P34" s="6">
        <v>60</v>
      </c>
      <c r="Q34" s="6"/>
      <c r="R34" s="6"/>
      <c r="S34" s="46" cm="1">
        <f t="array" ref="S34">SUM((Y34:AR34 - K34)^2)</f>
        <v>2.6519999999999988E-2</v>
      </c>
      <c r="T34" s="46">
        <f t="shared" si="12"/>
        <v>5.4960588405539044</v>
      </c>
      <c r="U34" s="6">
        <f t="shared" ref="U34" si="34">SQRT(BJ34/3)</f>
        <v>23.853682174413485</v>
      </c>
      <c r="V34" s="6">
        <f t="shared" ref="V34" si="35">SQRT(T34^2+U34^2)</f>
        <v>24.478660422023964</v>
      </c>
      <c r="W34" s="6">
        <f t="shared" ref="W34" si="36">V34*2</f>
        <v>48.957320844047928</v>
      </c>
      <c r="X34" s="6">
        <f t="shared" ref="X34" si="37">W34*0.01*K34</f>
        <v>7.4415127682952859E-2</v>
      </c>
      <c r="Y34" s="26">
        <v>0.18</v>
      </c>
      <c r="Z34" s="6">
        <v>0.21</v>
      </c>
      <c r="AA34" s="6">
        <v>0.21</v>
      </c>
      <c r="AB34" s="6">
        <v>0.21</v>
      </c>
      <c r="AC34" s="6">
        <v>0.14000000000000001</v>
      </c>
      <c r="AD34" s="6">
        <v>0.16</v>
      </c>
      <c r="AE34" s="6">
        <v>0.1</v>
      </c>
      <c r="AF34" s="6">
        <v>0.17</v>
      </c>
      <c r="AG34" s="6">
        <v>0.18</v>
      </c>
      <c r="AH34" s="6">
        <v>0.14000000000000001</v>
      </c>
      <c r="AI34" s="6">
        <v>0.18</v>
      </c>
      <c r="AJ34" s="6">
        <v>0.12</v>
      </c>
      <c r="AK34" s="6">
        <v>0.11</v>
      </c>
      <c r="AL34" s="6">
        <v>0.16</v>
      </c>
      <c r="AM34" s="6">
        <v>0.1</v>
      </c>
      <c r="AN34" s="6">
        <v>0.14000000000000001</v>
      </c>
      <c r="AO34" s="6">
        <v>0.18</v>
      </c>
      <c r="AP34" s="6">
        <v>0.12</v>
      </c>
      <c r="AQ34" s="6">
        <v>0.13</v>
      </c>
      <c r="AR34" s="6">
        <v>0.1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>
        <f t="shared" ref="BJ34" si="38">(15+4/K34)^2</f>
        <v>1706.9944598337952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</row>
    <row r="35" spans="1:262" s="3" customFormat="1" ht="29.25" customHeight="1">
      <c r="A35" s="21">
        <v>29</v>
      </c>
      <c r="B35" s="59" t="s">
        <v>173</v>
      </c>
      <c r="C35" s="59"/>
      <c r="D35" s="59"/>
      <c r="E35" s="59"/>
      <c r="F35" s="59"/>
      <c r="G35" s="59"/>
      <c r="H35" s="59"/>
      <c r="I35" s="90"/>
      <c r="J35" s="26" t="s">
        <v>264</v>
      </c>
      <c r="K35" s="27">
        <f t="shared" si="7"/>
        <v>0.13599999999999998</v>
      </c>
      <c r="L35" s="27">
        <f t="shared" si="2"/>
        <v>7.1139615632084374E-2</v>
      </c>
      <c r="M35" s="83"/>
      <c r="O35" s="6"/>
      <c r="P35" s="6">
        <v>60</v>
      </c>
      <c r="Q35" s="6"/>
      <c r="R35" s="6"/>
      <c r="S35" s="46" cm="1">
        <f t="array" ref="S35">SUM((Y35:AR35 - K35)^2)</f>
        <v>1.8680000000000006E-2</v>
      </c>
      <c r="T35" s="46">
        <f t="shared" si="12"/>
        <v>5.1553449445206967</v>
      </c>
      <c r="U35" s="6">
        <f t="shared" si="8"/>
        <v>25.641144308127505</v>
      </c>
      <c r="V35" s="6">
        <f t="shared" si="4"/>
        <v>26.154270452972199</v>
      </c>
      <c r="W35" s="6">
        <f t="shared" si="5"/>
        <v>52.308540905944398</v>
      </c>
      <c r="X35" s="6">
        <f t="shared" si="6"/>
        <v>7.1139615632084374E-2</v>
      </c>
      <c r="Y35" s="26">
        <v>0.13</v>
      </c>
      <c r="Z35" s="6">
        <v>0.1</v>
      </c>
      <c r="AA35" s="6">
        <v>0.1</v>
      </c>
      <c r="AB35" s="6">
        <v>0.11</v>
      </c>
      <c r="AC35" s="6">
        <v>0.11</v>
      </c>
      <c r="AD35" s="6">
        <v>0.16</v>
      </c>
      <c r="AE35" s="6">
        <v>0.15</v>
      </c>
      <c r="AF35" s="6">
        <v>0.11</v>
      </c>
      <c r="AG35" s="6">
        <v>0.16</v>
      </c>
      <c r="AH35" s="6">
        <v>0.18</v>
      </c>
      <c r="AI35" s="6">
        <v>0.14000000000000001</v>
      </c>
      <c r="AJ35" s="6">
        <v>0.2</v>
      </c>
      <c r="AK35" s="6">
        <v>0.12</v>
      </c>
      <c r="AL35" s="6">
        <v>0.1</v>
      </c>
      <c r="AM35" s="6">
        <v>0.12</v>
      </c>
      <c r="AN35" s="6">
        <v>0.17</v>
      </c>
      <c r="AO35" s="6">
        <v>0.19</v>
      </c>
      <c r="AP35" s="6">
        <v>0.13</v>
      </c>
      <c r="AQ35" s="6">
        <v>0.11</v>
      </c>
      <c r="AR35" s="6">
        <v>0.13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>
        <f t="shared" si="9"/>
        <v>1972.4048442906583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</row>
    <row r="36" spans="1:262" s="3" customFormat="1" ht="29.25" customHeight="1">
      <c r="A36" s="21">
        <v>30</v>
      </c>
      <c r="B36" s="59" t="s">
        <v>174</v>
      </c>
      <c r="C36" s="59"/>
      <c r="D36" s="59"/>
      <c r="E36" s="59"/>
      <c r="F36" s="59"/>
      <c r="G36" s="59"/>
      <c r="H36" s="59"/>
      <c r="I36" s="90"/>
      <c r="J36" s="26" t="s">
        <v>241</v>
      </c>
      <c r="K36" s="27">
        <f t="shared" ref="K36" si="39">AVERAGE(Y36:BH36)</f>
        <v>0.15150000000000002</v>
      </c>
      <c r="L36" s="27">
        <f t="shared" ref="L36" si="40">X36</f>
        <v>7.3643206651835255E-2</v>
      </c>
      <c r="M36" s="83"/>
      <c r="O36" s="6"/>
      <c r="P36" s="6">
        <v>60</v>
      </c>
      <c r="Q36" s="6"/>
      <c r="R36" s="6"/>
      <c r="S36" s="46" cm="1">
        <f t="array" ref="S36">SUM((Y36:AR36 - K36)^2)</f>
        <v>1.6854999999999998E-2</v>
      </c>
      <c r="T36" s="46">
        <f t="shared" si="12"/>
        <v>4.3960229118849155</v>
      </c>
      <c r="U36" s="6">
        <f t="shared" ref="U36" si="41">SQRT(BJ36/3)</f>
        <v>23.903825501596881</v>
      </c>
      <c r="V36" s="6">
        <f t="shared" ref="V36" si="42">SQRT(T36^2+U36^2)</f>
        <v>24.30468866397203</v>
      </c>
      <c r="W36" s="6">
        <f t="shared" ref="W36" si="43">V36*2</f>
        <v>48.60937732794406</v>
      </c>
      <c r="X36" s="6">
        <f t="shared" ref="X36" si="44">W36*0.01*K36</f>
        <v>7.3643206651835255E-2</v>
      </c>
      <c r="Y36" s="26">
        <v>0.16</v>
      </c>
      <c r="Z36" s="6">
        <v>0.17</v>
      </c>
      <c r="AA36" s="6">
        <v>0.12</v>
      </c>
      <c r="AB36" s="6">
        <v>0.15</v>
      </c>
      <c r="AC36" s="6">
        <v>0.17</v>
      </c>
      <c r="AD36" s="6">
        <v>0.18</v>
      </c>
      <c r="AE36" s="6">
        <v>0.17</v>
      </c>
      <c r="AF36" s="6">
        <v>0.12</v>
      </c>
      <c r="AG36" s="6">
        <v>0.14000000000000001</v>
      </c>
      <c r="AH36" s="6">
        <v>0.21</v>
      </c>
      <c r="AI36" s="6">
        <v>0.14000000000000001</v>
      </c>
      <c r="AJ36" s="6">
        <v>0.1</v>
      </c>
      <c r="AK36" s="6">
        <v>0.17</v>
      </c>
      <c r="AL36" s="6">
        <v>0.18</v>
      </c>
      <c r="AM36" s="6">
        <v>0.1</v>
      </c>
      <c r="AN36" s="6">
        <v>0.16</v>
      </c>
      <c r="AO36" s="6">
        <v>0.14000000000000001</v>
      </c>
      <c r="AP36" s="6">
        <v>0.11</v>
      </c>
      <c r="AQ36" s="6">
        <v>0.18</v>
      </c>
      <c r="AR36" s="6">
        <v>0.16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>
        <f t="shared" ref="BJ36" si="45">(15+4/K36)^2</f>
        <v>1714.1786208323801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</row>
    <row r="37" spans="1:262" s="3" customFormat="1" ht="29.25" customHeight="1">
      <c r="A37" s="21">
        <v>31</v>
      </c>
      <c r="B37" s="59" t="s">
        <v>175</v>
      </c>
      <c r="C37" s="59"/>
      <c r="D37" s="59"/>
      <c r="E37" s="59"/>
      <c r="F37" s="59"/>
      <c r="G37" s="59"/>
      <c r="H37" s="59"/>
      <c r="I37" s="90"/>
      <c r="J37" s="26" t="s">
        <v>265</v>
      </c>
      <c r="K37" s="27">
        <f t="shared" si="7"/>
        <v>0.13500000000000004</v>
      </c>
      <c r="L37" s="27">
        <f t="shared" si="2"/>
        <v>7.1311615401896983E-2</v>
      </c>
      <c r="M37" s="83"/>
      <c r="O37" s="6"/>
      <c r="P37" s="6">
        <v>60</v>
      </c>
      <c r="Q37" s="6"/>
      <c r="R37" s="6"/>
      <c r="S37" s="46" cm="1">
        <f t="array" ref="S37">SUM((Y37:AR37 - K37)^2)</f>
        <v>2.3300000000000005E-2</v>
      </c>
      <c r="T37" s="46">
        <f t="shared" si="12"/>
        <v>5.8003258729552591</v>
      </c>
      <c r="U37" s="6">
        <f t="shared" si="8"/>
        <v>25.766928680499959</v>
      </c>
      <c r="V37" s="6">
        <f t="shared" si="4"/>
        <v>26.411709408109985</v>
      </c>
      <c r="W37" s="6">
        <f t="shared" si="5"/>
        <v>52.82341881621997</v>
      </c>
      <c r="X37" s="6">
        <f t="shared" si="6"/>
        <v>7.1311615401896983E-2</v>
      </c>
      <c r="Y37" s="26">
        <v>0.2</v>
      </c>
      <c r="Z37" s="6">
        <v>0.12</v>
      </c>
      <c r="AA37" s="6">
        <v>0.19</v>
      </c>
      <c r="AB37" s="6">
        <v>0.2</v>
      </c>
      <c r="AC37" s="6">
        <v>0.13</v>
      </c>
      <c r="AD37" s="6">
        <v>0.15</v>
      </c>
      <c r="AE37" s="6">
        <v>0.12</v>
      </c>
      <c r="AF37" s="6">
        <v>0.12</v>
      </c>
      <c r="AG37" s="6">
        <v>0.12</v>
      </c>
      <c r="AH37" s="6">
        <v>0.1</v>
      </c>
      <c r="AI37" s="6">
        <v>0.1</v>
      </c>
      <c r="AJ37" s="6">
        <v>0.14000000000000001</v>
      </c>
      <c r="AK37" s="6">
        <v>0.11</v>
      </c>
      <c r="AL37" s="6">
        <v>0.17</v>
      </c>
      <c r="AM37" s="6">
        <v>0.18</v>
      </c>
      <c r="AN37" s="6">
        <v>0.1</v>
      </c>
      <c r="AO37" s="6">
        <v>0.1</v>
      </c>
      <c r="AP37" s="6">
        <v>0.11</v>
      </c>
      <c r="AQ37" s="6">
        <v>0.1</v>
      </c>
      <c r="AR37" s="6">
        <v>0.14000000000000001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>
        <f t="shared" si="9"/>
        <v>1991.8038408779139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</row>
    <row r="38" spans="1:262" s="3" customFormat="1" ht="29.25" customHeight="1">
      <c r="A38" s="21">
        <v>32</v>
      </c>
      <c r="B38" s="59" t="s">
        <v>176</v>
      </c>
      <c r="C38" s="59"/>
      <c r="D38" s="59"/>
      <c r="E38" s="59"/>
      <c r="F38" s="59"/>
      <c r="G38" s="59"/>
      <c r="H38" s="59"/>
      <c r="I38" s="90"/>
      <c r="J38" s="26" t="s">
        <v>266</v>
      </c>
      <c r="K38" s="27">
        <f>AVERAGE(Y38:BH38)</f>
        <v>0.14749999999999999</v>
      </c>
      <c r="L38" s="27">
        <f>X38</f>
        <v>7.4272978793016489E-2</v>
      </c>
      <c r="M38" s="83"/>
      <c r="O38" s="6"/>
      <c r="P38" s="6">
        <v>60</v>
      </c>
      <c r="Q38" s="6"/>
      <c r="R38" s="6"/>
      <c r="S38" s="46" cm="1">
        <f t="array" ref="S38">SUM((Y38:AJ38 - K38)^2)</f>
        <v>1.2225000000000003E-2</v>
      </c>
      <c r="T38" s="46">
        <f>(1/K38) * SQRT(S38 / (12 * 11))*100</f>
        <v>6.5244731462989636</v>
      </c>
      <c r="U38" s="6">
        <f t="shared" ref="U38" si="46">SQRT(BJ38/3)</f>
        <v>24.317210490444406</v>
      </c>
      <c r="V38" s="6">
        <f t="shared" ref="V38" si="47">SQRT(T38^2+U38^2)</f>
        <v>25.177280946785253</v>
      </c>
      <c r="W38" s="6">
        <f t="shared" ref="W38" si="48">V38*2</f>
        <v>50.354561893570505</v>
      </c>
      <c r="X38" s="6">
        <f t="shared" ref="X38" si="49">W38*0.01*K38</f>
        <v>7.4272978793016489E-2</v>
      </c>
      <c r="Y38" s="26">
        <v>0.17</v>
      </c>
      <c r="Z38" s="6">
        <v>0.17</v>
      </c>
      <c r="AA38" s="6">
        <v>0.11</v>
      </c>
      <c r="AB38" s="6">
        <v>0.14000000000000001</v>
      </c>
      <c r="AC38" s="6">
        <v>0.11</v>
      </c>
      <c r="AD38" s="6">
        <v>0.11</v>
      </c>
      <c r="AE38" s="6">
        <v>0.16</v>
      </c>
      <c r="AF38" s="6">
        <v>0.2</v>
      </c>
      <c r="AG38" s="6">
        <v>0.11</v>
      </c>
      <c r="AH38" s="6">
        <v>0.19</v>
      </c>
      <c r="AI38" s="6">
        <v>0.13</v>
      </c>
      <c r="AJ38" s="6">
        <v>0.17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>
        <f t="shared" ref="BJ38" si="50">(15+4/K38)^2</f>
        <v>1773.9801781097385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</row>
    <row r="39" spans="1:262" s="3" customFormat="1" ht="29.25" customHeight="1">
      <c r="A39" s="21">
        <v>33</v>
      </c>
      <c r="B39" s="59" t="s">
        <v>177</v>
      </c>
      <c r="C39" s="59"/>
      <c r="D39" s="59"/>
      <c r="E39" s="59"/>
      <c r="F39" s="59"/>
      <c r="G39" s="59"/>
      <c r="H39" s="59"/>
      <c r="I39" s="90"/>
      <c r="J39" s="26" t="s">
        <v>242</v>
      </c>
      <c r="K39" s="27">
        <f t="shared" si="7"/>
        <v>0.13666666666666666</v>
      </c>
      <c r="L39" s="27">
        <f t="shared" si="2"/>
        <v>7.17566735713146E-2</v>
      </c>
      <c r="M39" s="83"/>
      <c r="O39" s="6"/>
      <c r="P39" s="6">
        <v>60</v>
      </c>
      <c r="Q39" s="6"/>
      <c r="R39" s="6"/>
      <c r="S39" s="46" cm="1">
        <f t="array" ref="S39">SUM((Y39:AJ39 - K39)^2)</f>
        <v>8.8666666666666633E-3</v>
      </c>
      <c r="T39" s="46">
        <f t="shared" ref="T39:T47" si="51">(1/K39) * SQRT(S39 / (12 * 11))*100</f>
        <v>5.9969526990237343</v>
      </c>
      <c r="U39" s="6">
        <f t="shared" si="8"/>
        <v>25.558310697052942</v>
      </c>
      <c r="V39" s="6">
        <f t="shared" si="4"/>
        <v>26.252441550480956</v>
      </c>
      <c r="W39" s="6">
        <f t="shared" si="5"/>
        <v>52.504883100961912</v>
      </c>
      <c r="X39" s="6">
        <f t="shared" si="6"/>
        <v>7.17566735713146E-2</v>
      </c>
      <c r="Y39" s="7">
        <v>0.18</v>
      </c>
      <c r="Z39" s="6">
        <v>0.13</v>
      </c>
      <c r="AA39" s="6">
        <v>0.12</v>
      </c>
      <c r="AB39" s="6">
        <v>0.11</v>
      </c>
      <c r="AC39" s="6">
        <v>0.11</v>
      </c>
      <c r="AD39" s="6">
        <v>0.1</v>
      </c>
      <c r="AE39" s="6">
        <v>0.15</v>
      </c>
      <c r="AF39" s="6">
        <v>0.18</v>
      </c>
      <c r="AG39" s="6">
        <v>0.16</v>
      </c>
      <c r="AH39" s="6">
        <v>0.11</v>
      </c>
      <c r="AI39" s="6">
        <v>0.13</v>
      </c>
      <c r="AJ39" s="6">
        <v>0.16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>
        <f t="shared" si="9"/>
        <v>1959.6817370612728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</row>
    <row r="40" spans="1:262" s="3" customFormat="1" ht="29.25" customHeight="1">
      <c r="A40" s="21">
        <v>34</v>
      </c>
      <c r="B40" s="59" t="s">
        <v>178</v>
      </c>
      <c r="C40" s="59"/>
      <c r="D40" s="59"/>
      <c r="E40" s="59"/>
      <c r="F40" s="59"/>
      <c r="G40" s="59"/>
      <c r="H40" s="59"/>
      <c r="I40" s="90"/>
      <c r="J40" s="26" t="s">
        <v>267</v>
      </c>
      <c r="K40" s="27">
        <f t="shared" ref="K40" si="52">AVERAGE(Y40:BH40)</f>
        <v>0.14166666666666669</v>
      </c>
      <c r="L40" s="27">
        <f t="shared" ref="L40" si="53">X40</f>
        <v>7.3985137055022798E-2</v>
      </c>
      <c r="M40" s="83"/>
      <c r="O40" s="6"/>
      <c r="P40" s="6">
        <v>60</v>
      </c>
      <c r="Q40" s="6"/>
      <c r="R40" s="6"/>
      <c r="S40" s="46" cm="1">
        <f t="array" ref="S40">SUM((Y40:AJ40 - K40)^2)</f>
        <v>1.5566666666666666E-2</v>
      </c>
      <c r="T40" s="46">
        <f t="shared" si="51"/>
        <v>7.6655473741986393</v>
      </c>
      <c r="U40" s="6">
        <f t="shared" ref="U40" si="54">SQRT(BJ40/3)</f>
        <v>24.961908697316172</v>
      </c>
      <c r="V40" s="6">
        <f t="shared" ref="V40" si="55">SQRT(T40^2+U40^2)</f>
        <v>26.11240131353745</v>
      </c>
      <c r="W40" s="6">
        <f t="shared" ref="W40" si="56">V40*2</f>
        <v>52.224802627074901</v>
      </c>
      <c r="X40" s="6">
        <f t="shared" ref="X40" si="57">W40*0.01*K40</f>
        <v>7.3985137055022798E-2</v>
      </c>
      <c r="Y40" s="7">
        <v>0.1</v>
      </c>
      <c r="Z40" s="6">
        <v>0.2</v>
      </c>
      <c r="AA40" s="6">
        <v>0.11</v>
      </c>
      <c r="AB40" s="6">
        <v>0.14000000000000001</v>
      </c>
      <c r="AC40" s="6">
        <v>0.17</v>
      </c>
      <c r="AD40" s="6">
        <v>0.18</v>
      </c>
      <c r="AE40" s="6">
        <v>0.11</v>
      </c>
      <c r="AF40" s="6">
        <v>0.18</v>
      </c>
      <c r="AG40" s="6">
        <v>0.18</v>
      </c>
      <c r="AH40" s="6">
        <v>0.11</v>
      </c>
      <c r="AI40" s="6">
        <v>0.1</v>
      </c>
      <c r="AJ40" s="6">
        <v>0.12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f t="shared" ref="BJ40" si="58">(15+4/K40)^2</f>
        <v>1869.2906574394462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</row>
    <row r="41" spans="1:262" s="3" customFormat="1" ht="29.25" customHeight="1">
      <c r="A41" s="21">
        <v>35</v>
      </c>
      <c r="B41" s="59" t="s">
        <v>179</v>
      </c>
      <c r="C41" s="59"/>
      <c r="D41" s="59"/>
      <c r="E41" s="59"/>
      <c r="F41" s="59"/>
      <c r="G41" s="59"/>
      <c r="H41" s="59"/>
      <c r="I41" s="90"/>
      <c r="J41" s="26" t="s">
        <v>243</v>
      </c>
      <c r="K41" s="27">
        <f t="shared" si="7"/>
        <v>0.15166666666666667</v>
      </c>
      <c r="L41" s="27">
        <f t="shared" si="2"/>
        <v>7.6002276015892836E-2</v>
      </c>
      <c r="M41" s="83"/>
      <c r="O41" s="6"/>
      <c r="P41" s="6">
        <v>60</v>
      </c>
      <c r="Q41" s="6"/>
      <c r="R41" s="6"/>
      <c r="S41" s="46" cm="1">
        <f t="array" ref="S41">SUM((Y41:AJ41 - K41)^2)</f>
        <v>1.7366666666666666E-2</v>
      </c>
      <c r="T41" s="46">
        <f t="shared" si="51"/>
        <v>7.5627740744416121</v>
      </c>
      <c r="U41" s="6">
        <f t="shared" si="8"/>
        <v>23.887074324164189</v>
      </c>
      <c r="V41" s="6">
        <f t="shared" si="4"/>
        <v>25.055695389854783</v>
      </c>
      <c r="W41" s="6">
        <f t="shared" si="5"/>
        <v>50.111390779709566</v>
      </c>
      <c r="X41" s="6">
        <f t="shared" si="6"/>
        <v>7.6002276015892836E-2</v>
      </c>
      <c r="Y41" s="7">
        <v>0.18</v>
      </c>
      <c r="Z41" s="6">
        <v>0.13</v>
      </c>
      <c r="AA41" s="6">
        <v>0.14000000000000001</v>
      </c>
      <c r="AB41" s="6">
        <v>0.21</v>
      </c>
      <c r="AC41" s="6">
        <v>0.21</v>
      </c>
      <c r="AD41" s="6">
        <v>0.18</v>
      </c>
      <c r="AE41" s="6">
        <v>0.12</v>
      </c>
      <c r="AF41" s="6">
        <v>0.1</v>
      </c>
      <c r="AG41" s="6">
        <v>0.12</v>
      </c>
      <c r="AH41" s="6">
        <v>0.19</v>
      </c>
      <c r="AI41" s="6">
        <v>0.13</v>
      </c>
      <c r="AJ41" s="6">
        <v>0.11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>
        <f t="shared" si="9"/>
        <v>1711.7769593044318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</row>
    <row r="42" spans="1:262" s="3" customFormat="1" ht="29.25" customHeight="1">
      <c r="A42" s="21">
        <v>36</v>
      </c>
      <c r="B42" s="59" t="s">
        <v>180</v>
      </c>
      <c r="C42" s="59"/>
      <c r="D42" s="59"/>
      <c r="E42" s="59"/>
      <c r="F42" s="59"/>
      <c r="G42" s="59"/>
      <c r="H42" s="59"/>
      <c r="I42" s="90"/>
      <c r="J42" s="26" t="s">
        <v>244</v>
      </c>
      <c r="K42" s="27">
        <f t="shared" si="7"/>
        <v>0.1525</v>
      </c>
      <c r="L42" s="27">
        <f t="shared" si="2"/>
        <v>7.6032028239300692E-2</v>
      </c>
      <c r="M42" s="83"/>
      <c r="O42" s="6"/>
      <c r="P42" s="6">
        <v>60</v>
      </c>
      <c r="Q42" s="6"/>
      <c r="R42" s="6"/>
      <c r="S42" s="46" cm="1">
        <f t="array" ref="S42">SUM((Y42:AJ42 - K42)^2)</f>
        <v>1.6825E-2</v>
      </c>
      <c r="T42" s="46">
        <f t="shared" si="51"/>
        <v>7.40322122303043</v>
      </c>
      <c r="U42" s="6">
        <f t="shared" si="8"/>
        <v>23.803867655932933</v>
      </c>
      <c r="V42" s="6">
        <f t="shared" si="4"/>
        <v>24.928533848951048</v>
      </c>
      <c r="W42" s="6">
        <f t="shared" si="5"/>
        <v>49.857067697902096</v>
      </c>
      <c r="X42" s="6">
        <f t="shared" si="6"/>
        <v>7.6032028239300692E-2</v>
      </c>
      <c r="Y42" s="7">
        <v>0.14000000000000001</v>
      </c>
      <c r="Z42" s="6">
        <v>0.19</v>
      </c>
      <c r="AA42" s="6">
        <v>0.21</v>
      </c>
      <c r="AB42" s="6">
        <v>0.18</v>
      </c>
      <c r="AC42" s="6">
        <v>0.1</v>
      </c>
      <c r="AD42" s="6">
        <v>0.12</v>
      </c>
      <c r="AE42" s="6">
        <v>0.18</v>
      </c>
      <c r="AF42" s="6">
        <v>0.13</v>
      </c>
      <c r="AG42" s="6">
        <v>0.13</v>
      </c>
      <c r="AH42" s="6">
        <v>0.11</v>
      </c>
      <c r="AI42" s="6">
        <v>0.13</v>
      </c>
      <c r="AJ42" s="6">
        <v>0.21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>
        <f t="shared" si="9"/>
        <v>1699.87234614351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</row>
    <row r="43" spans="1:262" s="3" customFormat="1" ht="29.25" customHeight="1">
      <c r="A43" s="21">
        <v>37</v>
      </c>
      <c r="B43" s="59" t="s">
        <v>225</v>
      </c>
      <c r="C43" s="59"/>
      <c r="D43" s="59"/>
      <c r="E43" s="59"/>
      <c r="F43" s="59"/>
      <c r="G43" s="59"/>
      <c r="H43" s="59"/>
      <c r="I43" s="90"/>
      <c r="J43" s="26" t="s">
        <v>268</v>
      </c>
      <c r="K43" s="27">
        <f t="shared" ref="K43" si="59">AVERAGE(Y43:BH43)</f>
        <v>0.14166666666666669</v>
      </c>
      <c r="L43" s="27">
        <f t="shared" ref="L43" si="60">X43</f>
        <v>7.3821122186052426E-2</v>
      </c>
      <c r="M43" s="83"/>
      <c r="O43" s="6"/>
      <c r="P43" s="6">
        <v>60</v>
      </c>
      <c r="Q43" s="6"/>
      <c r="R43" s="6"/>
      <c r="S43" s="46" cm="1">
        <f t="array" ref="S43">SUM((Y43:AJ43 - K43)^2)</f>
        <v>1.4766666666666666E-2</v>
      </c>
      <c r="T43" s="46">
        <f t="shared" si="51"/>
        <v>7.4659760911346433</v>
      </c>
      <c r="U43" s="6">
        <f t="shared" ref="U43" si="61">SQRT(BJ43/3)</f>
        <v>24.961908697316172</v>
      </c>
      <c r="V43" s="6">
        <f t="shared" ref="V43" si="62">SQRT(T43^2+U43^2)</f>
        <v>26.054513712724383</v>
      </c>
      <c r="W43" s="6">
        <f t="shared" ref="W43" si="63">V43*2</f>
        <v>52.109027425448765</v>
      </c>
      <c r="X43" s="6">
        <f t="shared" ref="X43" si="64">W43*0.01*K43</f>
        <v>7.3821122186052426E-2</v>
      </c>
      <c r="Y43" s="7">
        <v>0.14000000000000001</v>
      </c>
      <c r="Z43" s="6">
        <v>0.17</v>
      </c>
      <c r="AA43" s="6">
        <v>0.1</v>
      </c>
      <c r="AB43" s="6">
        <v>0.18</v>
      </c>
      <c r="AC43" s="6">
        <v>0.17</v>
      </c>
      <c r="AD43" s="6">
        <v>0.13</v>
      </c>
      <c r="AE43" s="6">
        <v>0.2</v>
      </c>
      <c r="AF43" s="6">
        <v>0.12</v>
      </c>
      <c r="AG43" s="6">
        <v>0.11</v>
      </c>
      <c r="AH43" s="6">
        <v>0.1</v>
      </c>
      <c r="AI43" s="6">
        <v>0.1</v>
      </c>
      <c r="AJ43" s="6">
        <v>0.18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>
        <f t="shared" ref="BJ43" si="65">(15+4/K43)^2</f>
        <v>1869.2906574394462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</row>
    <row r="44" spans="1:262" s="3" customFormat="1" ht="29.25" customHeight="1">
      <c r="A44" s="21">
        <v>38</v>
      </c>
      <c r="B44" s="59" t="s">
        <v>226</v>
      </c>
      <c r="C44" s="59"/>
      <c r="D44" s="59"/>
      <c r="E44" s="59"/>
      <c r="F44" s="59"/>
      <c r="G44" s="59"/>
      <c r="H44" s="59"/>
      <c r="I44" s="90"/>
      <c r="J44" s="26" t="s">
        <v>245</v>
      </c>
      <c r="K44" s="27">
        <f t="shared" si="7"/>
        <v>0.14499999999999999</v>
      </c>
      <c r="L44" s="27">
        <f t="shared" si="2"/>
        <v>7.3541320069575575E-2</v>
      </c>
      <c r="M44" s="83"/>
      <c r="O44" s="6"/>
      <c r="P44" s="6">
        <v>60</v>
      </c>
      <c r="Q44" s="6"/>
      <c r="R44" s="6"/>
      <c r="S44" s="46" cm="1">
        <f t="array" ref="S44">SUM((Y44:AJ44 - K44)^2)</f>
        <v>1.0699999999999999E-2</v>
      </c>
      <c r="T44" s="46">
        <f t="shared" si="51"/>
        <v>6.2092181888173794</v>
      </c>
      <c r="U44" s="6">
        <f t="shared" si="8"/>
        <v>24.587158015489241</v>
      </c>
      <c r="V44" s="6">
        <f t="shared" si="4"/>
        <v>25.359075886060545</v>
      </c>
      <c r="W44" s="6">
        <f t="shared" si="5"/>
        <v>50.718151772121089</v>
      </c>
      <c r="X44" s="6">
        <f t="shared" si="6"/>
        <v>7.3541320069575575E-2</v>
      </c>
      <c r="Y44" s="7">
        <v>0.17</v>
      </c>
      <c r="Z44" s="6">
        <v>0.15</v>
      </c>
      <c r="AA44" s="6">
        <v>0.16</v>
      </c>
      <c r="AB44" s="6">
        <v>0.14000000000000001</v>
      </c>
      <c r="AC44" s="6">
        <v>0.16</v>
      </c>
      <c r="AD44" s="6">
        <v>0.13</v>
      </c>
      <c r="AE44" s="6">
        <v>0.12</v>
      </c>
      <c r="AF44" s="6">
        <v>0.21</v>
      </c>
      <c r="AG44" s="6">
        <v>0.12</v>
      </c>
      <c r="AH44" s="6">
        <v>0.17</v>
      </c>
      <c r="AI44" s="6">
        <v>0.1</v>
      </c>
      <c r="AJ44" s="6">
        <v>0.11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>
        <f t="shared" si="9"/>
        <v>1813.5850178359101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</row>
    <row r="45" spans="1:262" s="3" customFormat="1" ht="29.25" customHeight="1">
      <c r="A45" s="21">
        <v>39</v>
      </c>
      <c r="B45" s="59" t="s">
        <v>227</v>
      </c>
      <c r="C45" s="59"/>
      <c r="D45" s="59"/>
      <c r="E45" s="59"/>
      <c r="F45" s="59"/>
      <c r="G45" s="59"/>
      <c r="H45" s="59"/>
      <c r="I45" s="90">
        <v>46099</v>
      </c>
      <c r="J45" s="26" t="s">
        <v>269</v>
      </c>
      <c r="K45" s="27">
        <f t="shared" ref="K45" si="66">AVERAGE(Y45:BH45)</f>
        <v>0.14833333333333332</v>
      </c>
      <c r="L45" s="27">
        <f t="shared" ref="L45" si="67">X45</f>
        <v>7.6131747184029139E-2</v>
      </c>
      <c r="M45" s="84">
        <v>0.3</v>
      </c>
      <c r="O45" s="6"/>
      <c r="P45" s="6">
        <v>60</v>
      </c>
      <c r="Q45" s="6"/>
      <c r="R45" s="6"/>
      <c r="S45" s="46" cm="1">
        <f t="array" ref="S45">SUM((Y45:AJ45 - K45)^2)</f>
        <v>2.0766666666666666E-2</v>
      </c>
      <c r="T45" s="46">
        <f t="shared" si="51"/>
        <v>8.4558578616063258</v>
      </c>
      <c r="U45" s="6">
        <f t="shared" ref="U45" si="68">SQRT(BJ45/3)</f>
        <v>24.229250060935421</v>
      </c>
      <c r="V45" s="6">
        <f t="shared" ref="V45" si="69">SQRT(T45^2+U45^2)</f>
        <v>25.662386691245782</v>
      </c>
      <c r="W45" s="6">
        <f t="shared" ref="W45" si="70">V45*2</f>
        <v>51.324773382491564</v>
      </c>
      <c r="X45" s="6">
        <f t="shared" ref="X45" si="71">W45*0.01*K45</f>
        <v>7.6131747184029139E-2</v>
      </c>
      <c r="Y45" s="7">
        <v>0.1</v>
      </c>
      <c r="Z45" s="6">
        <v>0.12</v>
      </c>
      <c r="AA45" s="6">
        <v>0.1</v>
      </c>
      <c r="AB45" s="6">
        <v>0.1</v>
      </c>
      <c r="AC45" s="6">
        <v>0.21</v>
      </c>
      <c r="AD45" s="6">
        <v>0.16</v>
      </c>
      <c r="AE45" s="6">
        <v>0.19</v>
      </c>
      <c r="AF45" s="6">
        <v>0.2</v>
      </c>
      <c r="AG45" s="6">
        <v>0.17</v>
      </c>
      <c r="AH45" s="6">
        <v>0.14000000000000001</v>
      </c>
      <c r="AI45" s="6">
        <v>0.1</v>
      </c>
      <c r="AJ45" s="6">
        <v>0.19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>
        <f t="shared" ref="BJ45" si="72">(15+4/K45)^2</f>
        <v>1761.1696755460171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</row>
    <row r="46" spans="1:262" s="3" customFormat="1" ht="29.25" customHeight="1">
      <c r="A46" s="21">
        <v>40</v>
      </c>
      <c r="B46" s="59" t="s">
        <v>228</v>
      </c>
      <c r="C46" s="59"/>
      <c r="D46" s="59"/>
      <c r="E46" s="59"/>
      <c r="F46" s="59"/>
      <c r="G46" s="59"/>
      <c r="H46" s="59"/>
      <c r="I46" s="90"/>
      <c r="J46" s="26" t="s">
        <v>246</v>
      </c>
      <c r="K46" s="27">
        <f t="shared" si="7"/>
        <v>0.14333333333333331</v>
      </c>
      <c r="L46" s="27">
        <f t="shared" si="2"/>
        <v>7.3831435094279502E-2</v>
      </c>
      <c r="M46" s="85"/>
      <c r="O46" s="6"/>
      <c r="P46" s="6">
        <v>60</v>
      </c>
      <c r="Q46" s="6"/>
      <c r="R46" s="6"/>
      <c r="S46" s="46" cm="1">
        <f t="array" ref="S46">SUM((Y46:AJ46 - K46)^2)</f>
        <v>1.3466666666666665E-2</v>
      </c>
      <c r="T46" s="46">
        <f t="shared" si="51"/>
        <v>7.0468639799149937</v>
      </c>
      <c r="U46" s="6">
        <f t="shared" si="8"/>
        <v>24.77235457336883</v>
      </c>
      <c r="V46" s="6">
        <f t="shared" si="4"/>
        <v>25.75515177707425</v>
      </c>
      <c r="W46" s="6">
        <f t="shared" si="5"/>
        <v>51.5103035541485</v>
      </c>
      <c r="X46" s="6">
        <f t="shared" si="6"/>
        <v>7.3831435094279502E-2</v>
      </c>
      <c r="Y46" s="7">
        <v>0.12</v>
      </c>
      <c r="Z46" s="6">
        <v>0.12</v>
      </c>
      <c r="AA46" s="6">
        <v>0.15</v>
      </c>
      <c r="AB46" s="6">
        <v>0.1</v>
      </c>
      <c r="AC46" s="6">
        <v>0.12</v>
      </c>
      <c r="AD46" s="6">
        <v>0.12</v>
      </c>
      <c r="AE46" s="6">
        <v>0.21</v>
      </c>
      <c r="AF46" s="6">
        <v>0.17</v>
      </c>
      <c r="AG46" s="6">
        <v>0.18</v>
      </c>
      <c r="AH46" s="6">
        <v>0.16</v>
      </c>
      <c r="AI46" s="6">
        <v>0.1</v>
      </c>
      <c r="AJ46" s="6">
        <v>0.17</v>
      </c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f t="shared" si="9"/>
        <v>1841.0086533261228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</row>
    <row r="47" spans="1:262" s="3" customFormat="1" ht="29.25" customHeight="1">
      <c r="A47" s="21">
        <v>41</v>
      </c>
      <c r="B47" s="59" t="s">
        <v>229</v>
      </c>
      <c r="C47" s="59"/>
      <c r="D47" s="59"/>
      <c r="E47" s="59"/>
      <c r="F47" s="59"/>
      <c r="G47" s="59"/>
      <c r="H47" s="59"/>
      <c r="I47" s="90"/>
      <c r="J47" s="26" t="s">
        <v>247</v>
      </c>
      <c r="K47" s="27">
        <f t="shared" ref="K47" si="73">AVERAGE(Y47:BH47)</f>
        <v>0.14000000000000001</v>
      </c>
      <c r="L47" s="27">
        <f t="shared" ref="L47" si="74">X47</f>
        <v>7.3921334108386041E-2</v>
      </c>
      <c r="M47" s="86"/>
      <c r="O47" s="6"/>
      <c r="P47" s="6">
        <v>60</v>
      </c>
      <c r="Q47" s="6"/>
      <c r="R47" s="6"/>
      <c r="S47" s="46" cm="1">
        <f t="array" ref="S47">SUM((Y47:AJ47 - K47)^2)</f>
        <v>1.6599999999999997E-2</v>
      </c>
      <c r="T47" s="46">
        <f t="shared" si="51"/>
        <v>8.0101203766075013</v>
      </c>
      <c r="U47" s="6">
        <f t="shared" ref="U47" si="75">SQRT(BJ47/3)</f>
        <v>25.155976014690836</v>
      </c>
      <c r="V47" s="6">
        <f t="shared" ref="V47" si="76">SQRT(T47^2+U47^2)</f>
        <v>26.400476467280726</v>
      </c>
      <c r="W47" s="6">
        <f t="shared" ref="W47" si="77">V47*2</f>
        <v>52.800952934561451</v>
      </c>
      <c r="X47" s="6">
        <f t="shared" ref="X47" si="78">W47*0.01*K47</f>
        <v>7.3921334108386041E-2</v>
      </c>
      <c r="Y47" s="7">
        <v>0.18</v>
      </c>
      <c r="Z47" s="6">
        <v>0.19</v>
      </c>
      <c r="AA47" s="6">
        <v>0.13</v>
      </c>
      <c r="AB47" s="6">
        <v>0.21</v>
      </c>
      <c r="AC47" s="6">
        <v>0.11</v>
      </c>
      <c r="AD47" s="6">
        <v>0.18</v>
      </c>
      <c r="AE47" s="6">
        <v>0.1</v>
      </c>
      <c r="AF47" s="6">
        <v>0.11</v>
      </c>
      <c r="AG47" s="6">
        <v>0.12</v>
      </c>
      <c r="AH47" s="6">
        <v>0.1</v>
      </c>
      <c r="AI47" s="6">
        <v>0.12</v>
      </c>
      <c r="AJ47" s="6">
        <v>0.13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>
        <f t="shared" ref="BJ47" si="79">(15+4/K47)^2</f>
        <v>1898.4693877551019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</row>
    <row r="48" spans="1:262" s="3" customFormat="1" ht="15" customHeight="1">
      <c r="A48" s="21">
        <v>42</v>
      </c>
      <c r="B48" s="59" t="s">
        <v>70</v>
      </c>
      <c r="C48" s="59"/>
      <c r="D48" s="59"/>
      <c r="E48" s="59"/>
      <c r="F48" s="59"/>
      <c r="G48" s="59"/>
      <c r="H48" s="59"/>
      <c r="I48" s="90">
        <v>46099</v>
      </c>
      <c r="J48" s="27">
        <v>0.16</v>
      </c>
      <c r="K48" s="96" t="s">
        <v>112</v>
      </c>
      <c r="L48" s="27">
        <f t="shared" ref="L48:L58" si="80">SQRT(((BK48/J48)^2)/3)*2*J48</f>
        <v>7.3900834456272102E-2</v>
      </c>
      <c r="M48" s="83">
        <f>0.3</f>
        <v>0.3</v>
      </c>
      <c r="O48" s="6"/>
      <c r="P48" s="6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>
        <f t="shared" ref="BJ48:BJ63" si="81">(15+4/J48)</f>
        <v>40</v>
      </c>
      <c r="BK48" s="6">
        <f t="shared" ref="BK48:BK63" si="82">J48*BJ48/100</f>
        <v>6.4000000000000001E-2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</row>
    <row r="49" spans="1:262" s="3" customFormat="1">
      <c r="A49" s="21">
        <v>43</v>
      </c>
      <c r="B49" s="59" t="s">
        <v>71</v>
      </c>
      <c r="C49" s="59"/>
      <c r="D49" s="59"/>
      <c r="E49" s="59"/>
      <c r="F49" s="59"/>
      <c r="G49" s="59"/>
      <c r="H49" s="59"/>
      <c r="I49" s="90"/>
      <c r="J49" s="27">
        <v>0.2</v>
      </c>
      <c r="K49" s="96"/>
      <c r="L49" s="27">
        <f t="shared" si="80"/>
        <v>8.0829037686547617E-2</v>
      </c>
      <c r="M49" s="83"/>
      <c r="O49" s="6"/>
      <c r="P49" s="6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>
        <f t="shared" si="81"/>
        <v>35</v>
      </c>
      <c r="BK49" s="6">
        <f t="shared" si="82"/>
        <v>7.0000000000000007E-2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</row>
    <row r="50" spans="1:262" s="3" customFormat="1">
      <c r="A50" s="21">
        <v>44</v>
      </c>
      <c r="B50" s="59" t="s">
        <v>72</v>
      </c>
      <c r="C50" s="59"/>
      <c r="D50" s="59"/>
      <c r="E50" s="59"/>
      <c r="F50" s="59"/>
      <c r="G50" s="59"/>
      <c r="H50" s="59"/>
      <c r="I50" s="90"/>
      <c r="J50" s="27">
        <v>0.17</v>
      </c>
      <c r="K50" s="96"/>
      <c r="L50" s="27">
        <f t="shared" si="80"/>
        <v>7.5632885263840974E-2</v>
      </c>
      <c r="M50" s="83"/>
      <c r="O50" s="6"/>
      <c r="P50" s="6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>
        <f t="shared" si="81"/>
        <v>38.529411764705884</v>
      </c>
      <c r="BK50" s="6">
        <f t="shared" si="82"/>
        <v>6.5500000000000003E-2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</row>
    <row r="51" spans="1:262" s="3" customFormat="1">
      <c r="A51" s="21">
        <v>45</v>
      </c>
      <c r="B51" s="59" t="s">
        <v>73</v>
      </c>
      <c r="C51" s="59"/>
      <c r="D51" s="59"/>
      <c r="E51" s="59"/>
      <c r="F51" s="59"/>
      <c r="G51" s="59"/>
      <c r="H51" s="59"/>
      <c r="I51" s="90"/>
      <c r="J51" s="27">
        <v>0.18</v>
      </c>
      <c r="K51" s="96"/>
      <c r="L51" s="27">
        <f t="shared" si="80"/>
        <v>7.7364936071409846E-2</v>
      </c>
      <c r="M51" s="83"/>
      <c r="O51" s="6"/>
      <c r="P51" s="6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f t="shared" si="81"/>
        <v>37.222222222222221</v>
      </c>
      <c r="BK51" s="6">
        <f t="shared" si="82"/>
        <v>6.699999999999999E-2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</row>
    <row r="52" spans="1:262" s="3" customFormat="1">
      <c r="A52" s="21">
        <v>46</v>
      </c>
      <c r="B52" s="59" t="s">
        <v>74</v>
      </c>
      <c r="C52" s="59"/>
      <c r="D52" s="59"/>
      <c r="E52" s="59"/>
      <c r="F52" s="59"/>
      <c r="G52" s="59"/>
      <c r="H52" s="59"/>
      <c r="I52" s="90"/>
      <c r="J52" s="27">
        <v>0.14000000000000001</v>
      </c>
      <c r="K52" s="96"/>
      <c r="L52" s="27">
        <f t="shared" si="80"/>
        <v>7.0436732841134359E-2</v>
      </c>
      <c r="M52" s="83"/>
      <c r="O52" s="6"/>
      <c r="P52" s="6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>
        <f t="shared" si="81"/>
        <v>43.571428571428569</v>
      </c>
      <c r="BK52" s="6">
        <f t="shared" si="82"/>
        <v>6.1000000000000006E-2</v>
      </c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</row>
    <row r="53" spans="1:262" s="3" customFormat="1">
      <c r="A53" s="21">
        <v>47</v>
      </c>
      <c r="B53" s="59" t="s">
        <v>133</v>
      </c>
      <c r="C53" s="59"/>
      <c r="D53" s="59"/>
      <c r="E53" s="59"/>
      <c r="F53" s="59"/>
      <c r="G53" s="59"/>
      <c r="H53" s="59"/>
      <c r="I53" s="90"/>
      <c r="J53" s="27">
        <v>0.18</v>
      </c>
      <c r="K53" s="96"/>
      <c r="L53" s="27">
        <f t="shared" si="80"/>
        <v>7.7364936071409846E-2</v>
      </c>
      <c r="M53" s="83"/>
      <c r="O53" s="6"/>
      <c r="P53" s="6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>
        <f t="shared" si="81"/>
        <v>37.222222222222221</v>
      </c>
      <c r="BK53" s="6">
        <f t="shared" si="82"/>
        <v>6.699999999999999E-2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</row>
    <row r="54" spans="1:262" s="3" customFormat="1">
      <c r="A54" s="21">
        <v>48</v>
      </c>
      <c r="B54" s="59" t="s">
        <v>134</v>
      </c>
      <c r="C54" s="59"/>
      <c r="D54" s="59"/>
      <c r="E54" s="59"/>
      <c r="F54" s="59"/>
      <c r="G54" s="59"/>
      <c r="H54" s="59"/>
      <c r="I54" s="90"/>
      <c r="J54" s="27">
        <v>0.12</v>
      </c>
      <c r="K54" s="96"/>
      <c r="L54" s="27">
        <f t="shared" si="80"/>
        <v>6.6972631225996587E-2</v>
      </c>
      <c r="M54" s="83"/>
      <c r="O54" s="6"/>
      <c r="P54" s="6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>
        <f t="shared" si="81"/>
        <v>48.333333333333336</v>
      </c>
      <c r="BK54" s="6">
        <f t="shared" si="82"/>
        <v>5.7999999999999996E-2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</row>
    <row r="55" spans="1:262" s="3" customFormat="1">
      <c r="A55" s="21">
        <v>49</v>
      </c>
      <c r="B55" s="59" t="s">
        <v>135</v>
      </c>
      <c r="C55" s="59"/>
      <c r="D55" s="59"/>
      <c r="E55" s="59"/>
      <c r="F55" s="59"/>
      <c r="G55" s="59"/>
      <c r="H55" s="59"/>
      <c r="I55" s="90"/>
      <c r="J55" s="27">
        <v>0.17</v>
      </c>
      <c r="K55" s="96"/>
      <c r="L55" s="27">
        <f t="shared" si="80"/>
        <v>7.5632885263840974E-2</v>
      </c>
      <c r="M55" s="83"/>
      <c r="O55" s="6"/>
      <c r="P55" s="6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>
        <f t="shared" si="81"/>
        <v>38.529411764705884</v>
      </c>
      <c r="BK55" s="6">
        <f t="shared" si="82"/>
        <v>6.5500000000000003E-2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</row>
    <row r="56" spans="1:262" s="3" customFormat="1">
      <c r="A56" s="21">
        <v>50</v>
      </c>
      <c r="B56" s="59" t="s">
        <v>136</v>
      </c>
      <c r="C56" s="59"/>
      <c r="D56" s="59"/>
      <c r="E56" s="59"/>
      <c r="F56" s="59"/>
      <c r="G56" s="59"/>
      <c r="H56" s="59"/>
      <c r="I56" s="90"/>
      <c r="J56" s="27">
        <v>0.18</v>
      </c>
      <c r="K56" s="96"/>
      <c r="L56" s="27">
        <f t="shared" si="80"/>
        <v>7.7364936071409846E-2</v>
      </c>
      <c r="M56" s="83"/>
      <c r="O56" s="6"/>
      <c r="P56" s="6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f t="shared" si="81"/>
        <v>37.222222222222221</v>
      </c>
      <c r="BK56" s="6">
        <f t="shared" si="82"/>
        <v>6.699999999999999E-2</v>
      </c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</row>
    <row r="57" spans="1:262" s="3" customFormat="1">
      <c r="A57" s="21">
        <v>51</v>
      </c>
      <c r="B57" s="59" t="s">
        <v>137</v>
      </c>
      <c r="C57" s="59"/>
      <c r="D57" s="59"/>
      <c r="E57" s="59"/>
      <c r="F57" s="59"/>
      <c r="G57" s="59"/>
      <c r="H57" s="59"/>
      <c r="I57" s="90"/>
      <c r="J57" s="27">
        <v>0.16</v>
      </c>
      <c r="K57" s="96"/>
      <c r="L57" s="27">
        <f t="shared" si="80"/>
        <v>7.3900834456272102E-2</v>
      </c>
      <c r="M57" s="83"/>
      <c r="O57" s="6"/>
      <c r="P57" s="6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f t="shared" si="81"/>
        <v>40</v>
      </c>
      <c r="BK57" s="6">
        <f t="shared" si="82"/>
        <v>6.4000000000000001E-2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</row>
    <row r="58" spans="1:262" s="3" customFormat="1">
      <c r="A58" s="21">
        <v>52</v>
      </c>
      <c r="B58" s="59" t="s">
        <v>138</v>
      </c>
      <c r="C58" s="59"/>
      <c r="D58" s="59"/>
      <c r="E58" s="59"/>
      <c r="F58" s="59"/>
      <c r="G58" s="59"/>
      <c r="H58" s="59"/>
      <c r="I58" s="90"/>
      <c r="J58" s="27">
        <v>0.16</v>
      </c>
      <c r="K58" s="96"/>
      <c r="L58" s="27">
        <f t="shared" si="80"/>
        <v>7.3900834456272102E-2</v>
      </c>
      <c r="M58" s="83"/>
      <c r="O58" s="6"/>
      <c r="P58" s="6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f t="shared" si="81"/>
        <v>40</v>
      </c>
      <c r="BK58" s="6">
        <f t="shared" si="82"/>
        <v>6.4000000000000001E-2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</row>
    <row r="59" spans="1:262" s="3" customFormat="1">
      <c r="A59" s="21">
        <v>53</v>
      </c>
      <c r="B59" s="59" t="s">
        <v>149</v>
      </c>
      <c r="C59" s="59"/>
      <c r="D59" s="59"/>
      <c r="E59" s="59"/>
      <c r="F59" s="59"/>
      <c r="G59" s="59"/>
      <c r="H59" s="59"/>
      <c r="I59" s="90"/>
      <c r="J59" s="27">
        <v>0.18</v>
      </c>
      <c r="K59" s="96"/>
      <c r="L59" s="27">
        <f t="shared" ref="L59:L60" si="83">SQRT(((BK59/J59)^2)/3)*2*J59</f>
        <v>7.7364936071409846E-2</v>
      </c>
      <c r="M59" s="83"/>
      <c r="O59" s="6"/>
      <c r="P59" s="6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f t="shared" si="81"/>
        <v>37.222222222222221</v>
      </c>
      <c r="BK59" s="6">
        <f t="shared" si="82"/>
        <v>6.699999999999999E-2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</row>
    <row r="60" spans="1:262" s="3" customFormat="1">
      <c r="A60" s="21">
        <v>54</v>
      </c>
      <c r="B60" s="59" t="s">
        <v>190</v>
      </c>
      <c r="C60" s="59"/>
      <c r="D60" s="59"/>
      <c r="E60" s="59"/>
      <c r="F60" s="59"/>
      <c r="G60" s="59"/>
      <c r="H60" s="59"/>
      <c r="I60" s="90"/>
      <c r="J60" s="27">
        <v>0.15</v>
      </c>
      <c r="K60" s="96"/>
      <c r="L60" s="27">
        <f t="shared" si="83"/>
        <v>7.2168783648703244E-2</v>
      </c>
      <c r="M60" s="83"/>
      <c r="O60" s="6"/>
      <c r="P60" s="6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>
        <f t="shared" si="81"/>
        <v>41.666666666666671</v>
      </c>
      <c r="BK60" s="6">
        <f t="shared" si="82"/>
        <v>6.2500000000000014E-2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</row>
    <row r="61" spans="1:262" s="3" customFormat="1">
      <c r="A61" s="21">
        <v>55</v>
      </c>
      <c r="B61" s="59" t="s">
        <v>191</v>
      </c>
      <c r="C61" s="59"/>
      <c r="D61" s="59"/>
      <c r="E61" s="59"/>
      <c r="F61" s="59"/>
      <c r="G61" s="59"/>
      <c r="H61" s="59"/>
      <c r="I61" s="90"/>
      <c r="J61" s="27">
        <v>0.17</v>
      </c>
      <c r="K61" s="96"/>
      <c r="L61" s="27">
        <f>SQRT(((BK61/J61)^2)/3)*2*J61</f>
        <v>7.5632885263840974E-2</v>
      </c>
      <c r="M61" s="83"/>
      <c r="O61" s="6"/>
      <c r="P61" s="6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f t="shared" si="81"/>
        <v>38.529411764705884</v>
      </c>
      <c r="BK61" s="6">
        <f t="shared" si="82"/>
        <v>6.5500000000000003E-2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</row>
    <row r="62" spans="1:262" s="3" customFormat="1">
      <c r="A62" s="21">
        <v>56</v>
      </c>
      <c r="B62" s="59" t="s">
        <v>192</v>
      </c>
      <c r="C62" s="59"/>
      <c r="D62" s="59"/>
      <c r="E62" s="59"/>
      <c r="F62" s="59"/>
      <c r="G62" s="59"/>
      <c r="H62" s="59"/>
      <c r="I62" s="90"/>
      <c r="J62" s="27">
        <v>0.15</v>
      </c>
      <c r="K62" s="96"/>
      <c r="L62" s="27">
        <f t="shared" ref="L62:L63" si="84">SQRT(((BK62/J62)^2)/3)*2*J62</f>
        <v>7.2168783648703244E-2</v>
      </c>
      <c r="M62" s="83"/>
      <c r="O62" s="6"/>
      <c r="P62" s="6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f t="shared" si="81"/>
        <v>41.666666666666671</v>
      </c>
      <c r="BK62" s="6">
        <f t="shared" si="82"/>
        <v>6.2500000000000014E-2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</row>
    <row r="63" spans="1:262" s="3" customFormat="1">
      <c r="A63" s="21">
        <v>57</v>
      </c>
      <c r="B63" s="59" t="s">
        <v>193</v>
      </c>
      <c r="C63" s="59"/>
      <c r="D63" s="59"/>
      <c r="E63" s="59"/>
      <c r="F63" s="59"/>
      <c r="G63" s="59"/>
      <c r="H63" s="59"/>
      <c r="I63" s="90"/>
      <c r="J63" s="27">
        <v>0.11</v>
      </c>
      <c r="K63" s="96"/>
      <c r="L63" s="27">
        <f t="shared" si="84"/>
        <v>6.5240580418427715E-2</v>
      </c>
      <c r="M63" s="83"/>
      <c r="O63" s="6"/>
      <c r="P63" s="6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f t="shared" si="81"/>
        <v>51.363636363636367</v>
      </c>
      <c r="BK63" s="6">
        <f t="shared" si="82"/>
        <v>5.6500000000000002E-2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</row>
    <row r="64" spans="1:262" s="3" customFormat="1">
      <c r="A64" s="21">
        <v>58</v>
      </c>
      <c r="B64" s="59" t="s">
        <v>194</v>
      </c>
      <c r="C64" s="59"/>
      <c r="D64" s="59"/>
      <c r="E64" s="59"/>
      <c r="F64" s="59"/>
      <c r="G64" s="59"/>
      <c r="H64" s="59"/>
      <c r="I64" s="90"/>
      <c r="J64" s="27">
        <v>0.11</v>
      </c>
      <c r="K64" s="96"/>
      <c r="L64" s="27">
        <f t="shared" ref="L64" si="85">SQRT(((BK64/J64)^2)/3)*2*J64</f>
        <v>6.5240580418427715E-2</v>
      </c>
      <c r="M64" s="83"/>
      <c r="O64" s="6"/>
      <c r="P64" s="6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>
        <f t="shared" ref="BJ64:BJ70" si="86">(15+4/J64)</f>
        <v>51.363636363636367</v>
      </c>
      <c r="BK64" s="6">
        <f t="shared" ref="BK64:BK70" si="87">J64*BJ64/100</f>
        <v>5.6500000000000002E-2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</row>
    <row r="65" spans="1:262" s="3" customFormat="1">
      <c r="A65" s="21">
        <v>59</v>
      </c>
      <c r="B65" s="59" t="s">
        <v>195</v>
      </c>
      <c r="C65" s="59"/>
      <c r="D65" s="59"/>
      <c r="E65" s="59"/>
      <c r="F65" s="59"/>
      <c r="G65" s="59"/>
      <c r="H65" s="59"/>
      <c r="I65" s="90"/>
      <c r="J65" s="27">
        <v>0.1</v>
      </c>
      <c r="K65" s="96"/>
      <c r="L65" s="27">
        <f>SQRT(((BK65/J65)^2)/3)*2*J65</f>
        <v>6.350852961085883E-2</v>
      </c>
      <c r="M65" s="83"/>
      <c r="O65" s="6"/>
      <c r="P65" s="6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f t="shared" si="86"/>
        <v>55</v>
      </c>
      <c r="BK65" s="6">
        <f t="shared" si="87"/>
        <v>5.5E-2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</row>
    <row r="66" spans="1:262" s="3" customFormat="1">
      <c r="A66" s="21">
        <v>60</v>
      </c>
      <c r="B66" s="59" t="s">
        <v>196</v>
      </c>
      <c r="C66" s="59"/>
      <c r="D66" s="59"/>
      <c r="E66" s="59"/>
      <c r="F66" s="59"/>
      <c r="G66" s="59"/>
      <c r="H66" s="59"/>
      <c r="I66" s="90"/>
      <c r="J66" s="27">
        <v>0.1</v>
      </c>
      <c r="K66" s="96"/>
      <c r="L66" s="27">
        <f t="shared" ref="L66:L67" si="88">SQRT(((BK66/J66)^2)/3)*2*J66</f>
        <v>6.350852961085883E-2</v>
      </c>
      <c r="M66" s="83"/>
      <c r="O66" s="6"/>
      <c r="P66" s="6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f t="shared" si="86"/>
        <v>55</v>
      </c>
      <c r="BK66" s="6">
        <f t="shared" si="87"/>
        <v>5.5E-2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</row>
    <row r="67" spans="1:262" s="3" customFormat="1">
      <c r="A67" s="21">
        <v>61</v>
      </c>
      <c r="B67" s="59" t="s">
        <v>197</v>
      </c>
      <c r="C67" s="59"/>
      <c r="D67" s="59"/>
      <c r="E67" s="59"/>
      <c r="F67" s="59"/>
      <c r="G67" s="59"/>
      <c r="H67" s="59"/>
      <c r="I67" s="90"/>
      <c r="J67" s="27">
        <v>0.16</v>
      </c>
      <c r="K67" s="96"/>
      <c r="L67" s="27">
        <f t="shared" si="88"/>
        <v>7.3900834456272102E-2</v>
      </c>
      <c r="M67" s="83"/>
      <c r="O67" s="6"/>
      <c r="P67" s="6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f t="shared" si="86"/>
        <v>40</v>
      </c>
      <c r="BK67" s="6">
        <f t="shared" si="87"/>
        <v>6.4000000000000001E-2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</row>
    <row r="68" spans="1:262" s="3" customFormat="1">
      <c r="A68" s="21">
        <v>62</v>
      </c>
      <c r="B68" s="59" t="s">
        <v>198</v>
      </c>
      <c r="C68" s="59"/>
      <c r="D68" s="59"/>
      <c r="E68" s="59"/>
      <c r="F68" s="59"/>
      <c r="G68" s="59"/>
      <c r="H68" s="59"/>
      <c r="I68" s="90"/>
      <c r="J68" s="27">
        <v>0.11</v>
      </c>
      <c r="K68" s="96"/>
      <c r="L68" s="27">
        <f>SQRT(((BK68/J68)^2)/3)*2*J68</f>
        <v>6.5240580418427715E-2</v>
      </c>
      <c r="M68" s="83"/>
      <c r="O68" s="6"/>
      <c r="P68" s="6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>
        <f t="shared" si="86"/>
        <v>51.363636363636367</v>
      </c>
      <c r="BK68" s="6">
        <f t="shared" si="87"/>
        <v>5.6500000000000002E-2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</row>
    <row r="69" spans="1:262" s="3" customFormat="1">
      <c r="A69" s="21">
        <v>63</v>
      </c>
      <c r="B69" s="59" t="s">
        <v>199</v>
      </c>
      <c r="C69" s="59"/>
      <c r="D69" s="59"/>
      <c r="E69" s="59"/>
      <c r="F69" s="59"/>
      <c r="G69" s="59"/>
      <c r="H69" s="59"/>
      <c r="I69" s="90"/>
      <c r="J69" s="27">
        <v>0.16</v>
      </c>
      <c r="K69" s="96"/>
      <c r="L69" s="27">
        <f t="shared" ref="L69:L70" si="89">SQRT(((BK69/J69)^2)/3)*2*J69</f>
        <v>7.3900834456272102E-2</v>
      </c>
      <c r="M69" s="83"/>
      <c r="O69" s="6"/>
      <c r="P69" s="6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f t="shared" si="86"/>
        <v>40</v>
      </c>
      <c r="BK69" s="6">
        <f t="shared" si="87"/>
        <v>6.4000000000000001E-2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</row>
    <row r="70" spans="1:262" s="3" customFormat="1">
      <c r="A70" s="21">
        <v>64</v>
      </c>
      <c r="B70" s="59" t="s">
        <v>200</v>
      </c>
      <c r="C70" s="59"/>
      <c r="D70" s="59"/>
      <c r="E70" s="59"/>
      <c r="F70" s="59"/>
      <c r="G70" s="59"/>
      <c r="H70" s="59"/>
      <c r="I70" s="90"/>
      <c r="J70" s="27">
        <v>0.13</v>
      </c>
      <c r="K70" s="96"/>
      <c r="L70" s="27">
        <f t="shared" si="89"/>
        <v>6.8704682033565487E-2</v>
      </c>
      <c r="M70" s="83"/>
      <c r="O70" s="6"/>
      <c r="P70" s="6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>
        <f t="shared" si="86"/>
        <v>45.769230769230766</v>
      </c>
      <c r="BK70" s="6">
        <f t="shared" si="87"/>
        <v>5.9500000000000004E-2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</row>
    <row r="71" spans="1:262" s="3" customFormat="1">
      <c r="A71" s="21">
        <v>65</v>
      </c>
      <c r="B71" s="59" t="s">
        <v>201</v>
      </c>
      <c r="C71" s="59"/>
      <c r="D71" s="59"/>
      <c r="E71" s="59"/>
      <c r="F71" s="59"/>
      <c r="G71" s="59"/>
      <c r="H71" s="59"/>
      <c r="I71" s="90"/>
      <c r="J71" s="27">
        <v>0.1</v>
      </c>
      <c r="K71" s="96"/>
      <c r="L71" s="27">
        <f>SQRT(((BK71/J71)^2)/3)*2*J71</f>
        <v>6.350852961085883E-2</v>
      </c>
      <c r="M71" s="83"/>
      <c r="O71" s="6"/>
      <c r="P71" s="6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>
        <f t="shared" ref="BJ71:BJ77" si="90">(15+4/J71)</f>
        <v>55</v>
      </c>
      <c r="BK71" s="6">
        <f t="shared" ref="BK71:BK77" si="91">J71*BJ71/100</f>
        <v>5.5E-2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</row>
    <row r="72" spans="1:262" s="3" customFormat="1">
      <c r="A72" s="21">
        <v>66</v>
      </c>
      <c r="B72" s="59" t="s">
        <v>202</v>
      </c>
      <c r="C72" s="59"/>
      <c r="D72" s="59"/>
      <c r="E72" s="59"/>
      <c r="F72" s="59"/>
      <c r="G72" s="59"/>
      <c r="H72" s="59"/>
      <c r="I72" s="90"/>
      <c r="J72" s="27">
        <v>0.16</v>
      </c>
      <c r="K72" s="96"/>
      <c r="L72" s="27">
        <f>SQRT(((BK72/J72)^2)/3)*2*J72</f>
        <v>7.3900834456272102E-2</v>
      </c>
      <c r="M72" s="83"/>
      <c r="O72" s="6"/>
      <c r="P72" s="6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>
        <f t="shared" si="90"/>
        <v>40</v>
      </c>
      <c r="BK72" s="6">
        <f t="shared" si="91"/>
        <v>6.4000000000000001E-2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</row>
    <row r="73" spans="1:262" s="3" customFormat="1">
      <c r="A73" s="21">
        <v>67</v>
      </c>
      <c r="B73" s="59" t="s">
        <v>203</v>
      </c>
      <c r="C73" s="59"/>
      <c r="D73" s="59"/>
      <c r="E73" s="59"/>
      <c r="F73" s="59"/>
      <c r="G73" s="59"/>
      <c r="H73" s="59"/>
      <c r="I73" s="90"/>
      <c r="J73" s="27">
        <v>0.12</v>
      </c>
      <c r="K73" s="96"/>
      <c r="L73" s="27">
        <f t="shared" ref="L73:L74" si="92">SQRT(((BK73/J73)^2)/3)*2*J73</f>
        <v>6.6972631225996587E-2</v>
      </c>
      <c r="M73" s="83"/>
      <c r="O73" s="6"/>
      <c r="P73" s="6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>
        <f t="shared" si="90"/>
        <v>48.333333333333336</v>
      </c>
      <c r="BK73" s="6">
        <f t="shared" si="91"/>
        <v>5.7999999999999996E-2</v>
      </c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</row>
    <row r="74" spans="1:262" s="3" customFormat="1">
      <c r="A74" s="21">
        <v>68</v>
      </c>
      <c r="B74" s="59" t="s">
        <v>204</v>
      </c>
      <c r="C74" s="59"/>
      <c r="D74" s="59"/>
      <c r="E74" s="59"/>
      <c r="F74" s="59"/>
      <c r="G74" s="59"/>
      <c r="H74" s="59"/>
      <c r="I74" s="90"/>
      <c r="J74" s="27">
        <v>0.15</v>
      </c>
      <c r="K74" s="96"/>
      <c r="L74" s="27">
        <f t="shared" si="92"/>
        <v>7.2168783648703244E-2</v>
      </c>
      <c r="M74" s="83"/>
      <c r="O74" s="6"/>
      <c r="P74" s="6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f t="shared" si="90"/>
        <v>41.666666666666671</v>
      </c>
      <c r="BK74" s="6">
        <f t="shared" si="91"/>
        <v>6.2500000000000014E-2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</row>
    <row r="75" spans="1:262" s="3" customFormat="1">
      <c r="A75" s="21">
        <v>69</v>
      </c>
      <c r="B75" s="59" t="s">
        <v>205</v>
      </c>
      <c r="C75" s="59"/>
      <c r="D75" s="59"/>
      <c r="E75" s="59"/>
      <c r="F75" s="59"/>
      <c r="G75" s="59"/>
      <c r="H75" s="59"/>
      <c r="I75" s="90"/>
      <c r="J75" s="27">
        <v>0.19</v>
      </c>
      <c r="K75" s="96"/>
      <c r="L75" s="27">
        <f>SQRT(((BK75/J75)^2)/3)*2*J75</f>
        <v>7.9096986878978745E-2</v>
      </c>
      <c r="M75" s="83"/>
      <c r="O75" s="6"/>
      <c r="P75" s="6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>
        <f t="shared" si="90"/>
        <v>36.05263157894737</v>
      </c>
      <c r="BK75" s="6">
        <f t="shared" si="91"/>
        <v>6.8500000000000005E-2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</row>
    <row r="76" spans="1:262" s="3" customFormat="1">
      <c r="A76" s="21">
        <v>70</v>
      </c>
      <c r="B76" s="59" t="s">
        <v>206</v>
      </c>
      <c r="C76" s="59"/>
      <c r="D76" s="59"/>
      <c r="E76" s="59"/>
      <c r="F76" s="59"/>
      <c r="G76" s="59"/>
      <c r="H76" s="59"/>
      <c r="I76" s="90"/>
      <c r="J76" s="27">
        <v>0.11</v>
      </c>
      <c r="K76" s="96"/>
      <c r="L76" s="27">
        <f t="shared" ref="L76:L77" si="93">SQRT(((BK76/J76)^2)/3)*2*J76</f>
        <v>6.5240580418427715E-2</v>
      </c>
      <c r="M76" s="83"/>
      <c r="O76" s="6"/>
      <c r="P76" s="6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>
        <f t="shared" si="90"/>
        <v>51.363636363636367</v>
      </c>
      <c r="BK76" s="6">
        <f t="shared" si="91"/>
        <v>5.6500000000000002E-2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</row>
    <row r="77" spans="1:262" s="3" customFormat="1">
      <c r="A77" s="21">
        <v>71</v>
      </c>
      <c r="B77" s="59" t="s">
        <v>207</v>
      </c>
      <c r="C77" s="59"/>
      <c r="D77" s="59"/>
      <c r="E77" s="59"/>
      <c r="F77" s="59"/>
      <c r="G77" s="59"/>
      <c r="H77" s="59"/>
      <c r="I77" s="90"/>
      <c r="J77" s="27">
        <v>0.11</v>
      </c>
      <c r="K77" s="96"/>
      <c r="L77" s="27">
        <f t="shared" si="93"/>
        <v>6.5240580418427715E-2</v>
      </c>
      <c r="M77" s="83"/>
      <c r="O77" s="6"/>
      <c r="P77" s="6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>
        <f t="shared" si="90"/>
        <v>51.363636363636367</v>
      </c>
      <c r="BK77" s="6">
        <f t="shared" si="91"/>
        <v>5.6500000000000002E-2</v>
      </c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</row>
    <row r="78" spans="1:262" s="3" customFormat="1">
      <c r="A78" s="21">
        <v>72</v>
      </c>
      <c r="B78" s="59" t="s">
        <v>208</v>
      </c>
      <c r="C78" s="59"/>
      <c r="D78" s="59"/>
      <c r="E78" s="59"/>
      <c r="F78" s="59"/>
      <c r="G78" s="59"/>
      <c r="H78" s="59"/>
      <c r="I78" s="90"/>
      <c r="J78" s="27">
        <v>0.19</v>
      </c>
      <c r="K78" s="96"/>
      <c r="L78" s="27">
        <f t="shared" ref="L78" si="94">SQRT(((BK78/J78)^2)/3)*2*J78</f>
        <v>7.9096986878978745E-2</v>
      </c>
      <c r="M78" s="83"/>
      <c r="O78" s="6"/>
      <c r="P78" s="6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>
        <f t="shared" ref="BJ78:BJ84" si="95">(15+4/J78)</f>
        <v>36.05263157894737</v>
      </c>
      <c r="BK78" s="6">
        <f t="shared" ref="BK78:BK84" si="96">J78*BJ78/100</f>
        <v>6.8500000000000005E-2</v>
      </c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</row>
    <row r="79" spans="1:262" s="3" customFormat="1">
      <c r="A79" s="21">
        <v>73</v>
      </c>
      <c r="B79" s="59" t="s">
        <v>209</v>
      </c>
      <c r="C79" s="59"/>
      <c r="D79" s="59"/>
      <c r="E79" s="59"/>
      <c r="F79" s="59"/>
      <c r="G79" s="59"/>
      <c r="H79" s="59"/>
      <c r="I79" s="90"/>
      <c r="J79" s="27">
        <v>0.2</v>
      </c>
      <c r="K79" s="96"/>
      <c r="L79" s="27">
        <f>SQRT(((BK79/J79)^2)/3)*2*J79</f>
        <v>8.0829037686547617E-2</v>
      </c>
      <c r="M79" s="83"/>
      <c r="O79" s="6"/>
      <c r="P79" s="6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>
        <f t="shared" si="95"/>
        <v>35</v>
      </c>
      <c r="BK79" s="6">
        <f t="shared" si="96"/>
        <v>7.0000000000000007E-2</v>
      </c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</row>
    <row r="80" spans="1:262" s="3" customFormat="1">
      <c r="A80" s="21">
        <v>74</v>
      </c>
      <c r="B80" s="59" t="s">
        <v>210</v>
      </c>
      <c r="C80" s="59"/>
      <c r="D80" s="59"/>
      <c r="E80" s="59"/>
      <c r="F80" s="59"/>
      <c r="G80" s="59"/>
      <c r="H80" s="59"/>
      <c r="I80" s="90">
        <v>46099</v>
      </c>
      <c r="J80" s="27">
        <v>0.11</v>
      </c>
      <c r="K80" s="96" t="s">
        <v>112</v>
      </c>
      <c r="L80" s="27">
        <f t="shared" ref="L80:L81" si="97">SQRT(((BK80/J80)^2)/3)*2*J80</f>
        <v>6.5240580418427715E-2</v>
      </c>
      <c r="M80" s="83">
        <v>0.3</v>
      </c>
      <c r="O80" s="6"/>
      <c r="P80" s="6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>
        <f t="shared" si="95"/>
        <v>51.363636363636367</v>
      </c>
      <c r="BK80" s="6">
        <f t="shared" si="96"/>
        <v>5.6500000000000002E-2</v>
      </c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</row>
    <row r="81" spans="1:262" s="3" customFormat="1">
      <c r="A81" s="21">
        <v>75</v>
      </c>
      <c r="B81" s="59" t="s">
        <v>211</v>
      </c>
      <c r="C81" s="59"/>
      <c r="D81" s="59"/>
      <c r="E81" s="59"/>
      <c r="F81" s="59"/>
      <c r="G81" s="59"/>
      <c r="H81" s="59"/>
      <c r="I81" s="90"/>
      <c r="J81" s="27">
        <v>0.14000000000000001</v>
      </c>
      <c r="K81" s="96"/>
      <c r="L81" s="27">
        <f t="shared" si="97"/>
        <v>7.0436732841134359E-2</v>
      </c>
      <c r="M81" s="83"/>
      <c r="O81" s="6"/>
      <c r="P81" s="6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f t="shared" si="95"/>
        <v>43.571428571428569</v>
      </c>
      <c r="BK81" s="6">
        <f t="shared" si="96"/>
        <v>6.1000000000000006E-2</v>
      </c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</row>
    <row r="82" spans="1:262" s="3" customFormat="1">
      <c r="A82" s="21">
        <v>76</v>
      </c>
      <c r="B82" s="59" t="s">
        <v>212</v>
      </c>
      <c r="C82" s="59"/>
      <c r="D82" s="59"/>
      <c r="E82" s="59"/>
      <c r="F82" s="59"/>
      <c r="G82" s="59"/>
      <c r="H82" s="59"/>
      <c r="I82" s="90"/>
      <c r="J82" s="27">
        <v>0.18</v>
      </c>
      <c r="K82" s="96"/>
      <c r="L82" s="27">
        <f>SQRT(((BK82/J82)^2)/3)*2*J82</f>
        <v>7.7364936071409846E-2</v>
      </c>
      <c r="M82" s="83"/>
      <c r="O82" s="6"/>
      <c r="P82" s="6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>
        <f t="shared" si="95"/>
        <v>37.222222222222221</v>
      </c>
      <c r="BK82" s="6">
        <f t="shared" si="96"/>
        <v>6.699999999999999E-2</v>
      </c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</row>
    <row r="83" spans="1:262" s="3" customFormat="1">
      <c r="A83" s="21">
        <v>77</v>
      </c>
      <c r="B83" s="59" t="s">
        <v>213</v>
      </c>
      <c r="C83" s="59"/>
      <c r="D83" s="59"/>
      <c r="E83" s="59"/>
      <c r="F83" s="59"/>
      <c r="G83" s="59"/>
      <c r="H83" s="59"/>
      <c r="I83" s="90"/>
      <c r="J83" s="27">
        <v>0.18</v>
      </c>
      <c r="K83" s="96"/>
      <c r="L83" s="27">
        <f t="shared" ref="L83:L84" si="98">SQRT(((BK83/J83)^2)/3)*2*J83</f>
        <v>7.7364936071409846E-2</v>
      </c>
      <c r="M83" s="83"/>
      <c r="O83" s="6"/>
      <c r="P83" s="6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f t="shared" si="95"/>
        <v>37.222222222222221</v>
      </c>
      <c r="BK83" s="6">
        <f t="shared" si="96"/>
        <v>6.699999999999999E-2</v>
      </c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</row>
    <row r="84" spans="1:262" s="3" customFormat="1">
      <c r="A84" s="21">
        <v>78</v>
      </c>
      <c r="B84" s="59" t="s">
        <v>214</v>
      </c>
      <c r="C84" s="59"/>
      <c r="D84" s="59"/>
      <c r="E84" s="59"/>
      <c r="F84" s="59"/>
      <c r="G84" s="59"/>
      <c r="H84" s="59"/>
      <c r="I84" s="90"/>
      <c r="J84" s="27">
        <v>0.2</v>
      </c>
      <c r="K84" s="96"/>
      <c r="L84" s="27">
        <f t="shared" si="98"/>
        <v>8.0829037686547617E-2</v>
      </c>
      <c r="M84" s="83"/>
      <c r="O84" s="6"/>
      <c r="P84" s="6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>
        <f t="shared" si="95"/>
        <v>35</v>
      </c>
      <c r="BK84" s="6">
        <f t="shared" si="96"/>
        <v>7.0000000000000007E-2</v>
      </c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</row>
    <row r="85" spans="1:262" s="3" customFormat="1">
      <c r="A85" s="21">
        <v>79</v>
      </c>
      <c r="B85" s="59" t="s">
        <v>215</v>
      </c>
      <c r="C85" s="59"/>
      <c r="D85" s="59"/>
      <c r="E85" s="59"/>
      <c r="F85" s="59"/>
      <c r="G85" s="59"/>
      <c r="H85" s="59"/>
      <c r="I85" s="90"/>
      <c r="J85" s="27">
        <v>0.1</v>
      </c>
      <c r="K85" s="96"/>
      <c r="L85" s="27">
        <f>SQRT(((BK85/J85)^2)/3)*2*J85</f>
        <v>6.350852961085883E-2</v>
      </c>
      <c r="M85" s="83"/>
      <c r="O85" s="6"/>
      <c r="P85" s="6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f t="shared" ref="BJ85:BJ93" si="99">(15+4/J85)</f>
        <v>55</v>
      </c>
      <c r="BK85" s="6">
        <f t="shared" ref="BK85:BK93" si="100">J85*BJ85/100</f>
        <v>5.5E-2</v>
      </c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</row>
    <row r="86" spans="1:262" s="3" customFormat="1">
      <c r="A86" s="21">
        <v>80</v>
      </c>
      <c r="B86" s="59" t="s">
        <v>216</v>
      </c>
      <c r="C86" s="59"/>
      <c r="D86" s="59"/>
      <c r="E86" s="59"/>
      <c r="F86" s="59"/>
      <c r="G86" s="59"/>
      <c r="H86" s="59"/>
      <c r="I86" s="90"/>
      <c r="J86" s="27">
        <v>0.12</v>
      </c>
      <c r="K86" s="96"/>
      <c r="L86" s="27">
        <f>SQRT(((BK86/J86)^2)/3)*2*J86</f>
        <v>6.6972631225996587E-2</v>
      </c>
      <c r="M86" s="83"/>
      <c r="O86" s="6"/>
      <c r="P86" s="6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>
        <f t="shared" si="99"/>
        <v>48.333333333333336</v>
      </c>
      <c r="BK86" s="6">
        <f t="shared" si="100"/>
        <v>5.7999999999999996E-2</v>
      </c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</row>
    <row r="87" spans="1:262" s="3" customFormat="1">
      <c r="A87" s="21">
        <v>81</v>
      </c>
      <c r="B87" s="59" t="s">
        <v>217</v>
      </c>
      <c r="C87" s="59"/>
      <c r="D87" s="59"/>
      <c r="E87" s="59"/>
      <c r="F87" s="59"/>
      <c r="G87" s="59"/>
      <c r="H87" s="59"/>
      <c r="I87" s="90"/>
      <c r="J87" s="27">
        <v>0.12</v>
      </c>
      <c r="K87" s="96"/>
      <c r="L87" s="27">
        <f t="shared" ref="L87:L88" si="101">SQRT(((BK87/J87)^2)/3)*2*J87</f>
        <v>6.6972631225996587E-2</v>
      </c>
      <c r="M87" s="83"/>
      <c r="O87" s="6"/>
      <c r="P87" s="6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>
        <f t="shared" si="99"/>
        <v>48.333333333333336</v>
      </c>
      <c r="BK87" s="6">
        <f t="shared" si="100"/>
        <v>5.7999999999999996E-2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</row>
    <row r="88" spans="1:262" s="3" customFormat="1">
      <c r="A88" s="21">
        <v>82</v>
      </c>
      <c r="B88" s="59" t="s">
        <v>218</v>
      </c>
      <c r="C88" s="59"/>
      <c r="D88" s="59"/>
      <c r="E88" s="59"/>
      <c r="F88" s="59"/>
      <c r="G88" s="59"/>
      <c r="H88" s="59"/>
      <c r="I88" s="90"/>
      <c r="J88" s="27">
        <v>0.19</v>
      </c>
      <c r="K88" s="96"/>
      <c r="L88" s="27">
        <f t="shared" si="101"/>
        <v>7.9096986878978745E-2</v>
      </c>
      <c r="M88" s="83"/>
      <c r="O88" s="6"/>
      <c r="P88" s="6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f t="shared" si="99"/>
        <v>36.05263157894737</v>
      </c>
      <c r="BK88" s="6">
        <f t="shared" si="100"/>
        <v>6.8500000000000005E-2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</row>
    <row r="89" spans="1:262" s="3" customFormat="1">
      <c r="A89" s="21">
        <v>83</v>
      </c>
      <c r="B89" s="59" t="s">
        <v>219</v>
      </c>
      <c r="C89" s="59"/>
      <c r="D89" s="59"/>
      <c r="E89" s="59"/>
      <c r="F89" s="59"/>
      <c r="G89" s="59"/>
      <c r="H89" s="59"/>
      <c r="I89" s="90"/>
      <c r="J89" s="27">
        <v>0.16</v>
      </c>
      <c r="K89" s="96"/>
      <c r="L89" s="27">
        <f>SQRT(((BK89/J89)^2)/3)*2*J89</f>
        <v>7.3900834456272102E-2</v>
      </c>
      <c r="M89" s="83"/>
      <c r="O89" s="6"/>
      <c r="P89" s="6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>
        <f t="shared" si="99"/>
        <v>40</v>
      </c>
      <c r="BK89" s="6">
        <f t="shared" si="100"/>
        <v>6.4000000000000001E-2</v>
      </c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</row>
    <row r="90" spans="1:262" s="3" customFormat="1">
      <c r="A90" s="21">
        <v>84</v>
      </c>
      <c r="B90" s="59" t="s">
        <v>220</v>
      </c>
      <c r="C90" s="59"/>
      <c r="D90" s="59"/>
      <c r="E90" s="59"/>
      <c r="F90" s="59"/>
      <c r="G90" s="59"/>
      <c r="H90" s="59"/>
      <c r="I90" s="90"/>
      <c r="J90" s="27">
        <v>0.11</v>
      </c>
      <c r="K90" s="96"/>
      <c r="L90" s="27">
        <f t="shared" ref="L90:L91" si="102">SQRT(((BK90/J90)^2)/3)*2*J90</f>
        <v>6.5240580418427715E-2</v>
      </c>
      <c r="M90" s="83"/>
      <c r="O90" s="6"/>
      <c r="P90" s="6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>
        <f t="shared" si="99"/>
        <v>51.363636363636367</v>
      </c>
      <c r="BK90" s="6">
        <f t="shared" si="100"/>
        <v>5.6500000000000002E-2</v>
      </c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</row>
    <row r="91" spans="1:262" s="3" customFormat="1">
      <c r="A91" s="21">
        <v>85</v>
      </c>
      <c r="B91" s="59" t="s">
        <v>221</v>
      </c>
      <c r="C91" s="59"/>
      <c r="D91" s="59"/>
      <c r="E91" s="59"/>
      <c r="F91" s="59"/>
      <c r="G91" s="59"/>
      <c r="H91" s="59"/>
      <c r="I91" s="90"/>
      <c r="J91" s="27">
        <v>0.18</v>
      </c>
      <c r="K91" s="96"/>
      <c r="L91" s="27">
        <f t="shared" si="102"/>
        <v>7.7364936071409846E-2</v>
      </c>
      <c r="M91" s="83"/>
      <c r="O91" s="6"/>
      <c r="P91" s="6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f t="shared" si="99"/>
        <v>37.222222222222221</v>
      </c>
      <c r="BK91" s="6">
        <f t="shared" si="100"/>
        <v>6.699999999999999E-2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</row>
    <row r="92" spans="1:262" s="3" customFormat="1">
      <c r="A92" s="21">
        <v>86</v>
      </c>
      <c r="B92" s="59" t="s">
        <v>222</v>
      </c>
      <c r="C92" s="59"/>
      <c r="D92" s="59"/>
      <c r="E92" s="59"/>
      <c r="F92" s="59"/>
      <c r="G92" s="59"/>
      <c r="H92" s="59"/>
      <c r="I92" s="90"/>
      <c r="J92" s="27">
        <v>0.14000000000000001</v>
      </c>
      <c r="K92" s="96"/>
      <c r="L92" s="27">
        <f t="shared" ref="L92" si="103">SQRT(((BK92/J92)^2)/3)*2*J92</f>
        <v>7.0436732841134359E-2</v>
      </c>
      <c r="M92" s="83"/>
      <c r="O92" s="6"/>
      <c r="P92" s="6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>
        <f t="shared" si="99"/>
        <v>43.571428571428569</v>
      </c>
      <c r="BK92" s="6">
        <f t="shared" si="100"/>
        <v>6.1000000000000006E-2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</row>
    <row r="93" spans="1:262" s="3" customFormat="1">
      <c r="A93" s="21">
        <v>87</v>
      </c>
      <c r="B93" s="59" t="s">
        <v>223</v>
      </c>
      <c r="C93" s="59"/>
      <c r="D93" s="59"/>
      <c r="E93" s="59"/>
      <c r="F93" s="59"/>
      <c r="G93" s="59"/>
      <c r="H93" s="59"/>
      <c r="I93" s="90"/>
      <c r="J93" s="27">
        <v>0.12</v>
      </c>
      <c r="K93" s="96"/>
      <c r="L93" s="27">
        <f>SQRT(((BK93/J93)^2)/3)*2*J93</f>
        <v>6.6972631225996587E-2</v>
      </c>
      <c r="M93" s="83"/>
      <c r="O93" s="6"/>
      <c r="P93" s="6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>
        <f t="shared" si="99"/>
        <v>48.333333333333336</v>
      </c>
      <c r="BK93" s="6">
        <f t="shared" si="100"/>
        <v>5.7999999999999996E-2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</row>
    <row r="94" spans="1:262" ht="23.25" customHeight="1">
      <c r="A94" s="91" t="s">
        <v>327</v>
      </c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</row>
    <row r="95" spans="1:262" ht="23.2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</row>
    <row r="96" spans="1:262"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</row>
    <row r="97" spans="15:262"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</row>
    <row r="98" spans="15:262"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</row>
    <row r="99" spans="15:262"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</row>
    <row r="100" spans="15:262"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</row>
    <row r="101" spans="15:262"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</row>
    <row r="102" spans="15:262"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</row>
    <row r="103" spans="15:262"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</row>
    <row r="104" spans="15:262"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</row>
    <row r="105" spans="15:262"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</row>
    <row r="106" spans="15:262"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</row>
    <row r="107" spans="15:262"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</row>
    <row r="108" spans="15:262"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</row>
    <row r="109" spans="15:262"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</row>
    <row r="110" spans="15:262"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</row>
    <row r="111" spans="15:262"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</row>
    <row r="112" spans="15:262"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</row>
    <row r="113" spans="15:262"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</row>
    <row r="114" spans="15:262"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</row>
    <row r="115" spans="15:262"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</row>
    <row r="116" spans="15:262"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</row>
    <row r="117" spans="15:262"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</row>
    <row r="118" spans="15:262"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</row>
    <row r="119" spans="15:262"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</row>
    <row r="120" spans="15:262"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</row>
    <row r="121" spans="15:262"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</row>
    <row r="122" spans="15:262"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</row>
    <row r="123" spans="15:262"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</row>
    <row r="124" spans="15:262"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</row>
    <row r="125" spans="15:262"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</row>
    <row r="126" spans="15:262"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</row>
    <row r="127" spans="15:262"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</row>
    <row r="128" spans="15:262"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</row>
    <row r="129" spans="15:262"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</row>
    <row r="130" spans="15:262"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</row>
    <row r="131" spans="15:262"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</row>
    <row r="132" spans="15:262"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</row>
    <row r="133" spans="15:262"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</row>
    <row r="134" spans="15:262"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</row>
    <row r="135" spans="15:262"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</row>
    <row r="136" spans="15:262"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</row>
    <row r="137" spans="15:262"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</row>
    <row r="138" spans="15:262"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</row>
    <row r="139" spans="15:262"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</row>
    <row r="140" spans="15:262"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</row>
    <row r="141" spans="15:262"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</row>
    <row r="142" spans="15:262"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</row>
    <row r="143" spans="15:262"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</row>
    <row r="144" spans="15:262"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</row>
    <row r="145" spans="15:262"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</row>
    <row r="146" spans="15:262"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</row>
    <row r="147" spans="15:262"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</row>
    <row r="148" spans="15:262"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</row>
    <row r="149" spans="15:262"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</row>
    <row r="150" spans="15:262"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</row>
    <row r="151" spans="15:262"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</row>
    <row r="152" spans="15:262"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</row>
    <row r="153" spans="15:262"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</row>
    <row r="154" spans="15:262"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</row>
    <row r="155" spans="15:262"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</row>
    <row r="156" spans="15:262"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</row>
    <row r="157" spans="15:262"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</row>
    <row r="158" spans="15:262"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</row>
    <row r="159" spans="15:262"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</row>
    <row r="160" spans="15:262"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</row>
    <row r="161" spans="15:262"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</row>
    <row r="162" spans="15:262"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</row>
    <row r="163" spans="15:262"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</row>
    <row r="164" spans="15:262"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</row>
    <row r="165" spans="15:262"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</row>
    <row r="166" spans="15:262"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</row>
    <row r="167" spans="15:262"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</row>
    <row r="168" spans="15:262"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</row>
    <row r="169" spans="15:262"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</row>
    <row r="170" spans="15:262"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</row>
    <row r="171" spans="15:262"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</row>
    <row r="172" spans="15:262"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</row>
    <row r="173" spans="15:262"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</row>
    <row r="174" spans="15:262"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</row>
    <row r="175" spans="15:262"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</row>
    <row r="176" spans="15:262"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</row>
    <row r="177" spans="15:262"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</row>
    <row r="178" spans="15:262"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</row>
    <row r="179" spans="15:262"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</row>
    <row r="180" spans="15:262"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</row>
    <row r="181" spans="15:262"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</row>
    <row r="182" spans="15:262"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</row>
    <row r="183" spans="15:262"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</row>
    <row r="184" spans="15:262"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</row>
    <row r="185" spans="15:262"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</row>
    <row r="186" spans="15:262"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</row>
    <row r="187" spans="15:262"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</row>
    <row r="188" spans="15:262"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</row>
    <row r="189" spans="15:262"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</row>
    <row r="190" spans="15:262"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</row>
    <row r="191" spans="15:262"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</row>
    <row r="192" spans="15:262"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</row>
    <row r="193" spans="15:262"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</row>
    <row r="194" spans="15:262"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</row>
    <row r="195" spans="15:262"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</row>
    <row r="196" spans="15:262"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</row>
    <row r="197" spans="15:262"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</row>
    <row r="198" spans="15:262"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</row>
    <row r="199" spans="15:262"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</row>
    <row r="200" spans="15:262"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</row>
    <row r="201" spans="15:262"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</row>
    <row r="202" spans="15:262"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</row>
    <row r="203" spans="15:262"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</row>
    <row r="204" spans="15:262"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</row>
    <row r="205" spans="15:262"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</row>
    <row r="206" spans="15:262"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</row>
    <row r="207" spans="15:262"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</row>
    <row r="208" spans="15:262"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</row>
    <row r="209" spans="15:262"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</row>
    <row r="210" spans="15:262"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</row>
    <row r="211" spans="15:262"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</row>
    <row r="212" spans="15:262"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</row>
    <row r="213" spans="15:262"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</row>
    <row r="214" spans="15:262"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</row>
    <row r="215" spans="15:262"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</row>
    <row r="216" spans="15:262"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</row>
    <row r="217" spans="15:262"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</row>
    <row r="218" spans="15:262"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</row>
    <row r="219" spans="15:262"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</row>
    <row r="220" spans="15:262"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</row>
    <row r="221" spans="15:262"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</row>
    <row r="222" spans="15:262"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</row>
    <row r="223" spans="15:262"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</row>
    <row r="224" spans="15:262"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</row>
    <row r="225" spans="15:262"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</row>
    <row r="226" spans="15:262"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</row>
    <row r="227" spans="15:262"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</row>
    <row r="228" spans="15:262"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</row>
    <row r="229" spans="15:262"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</row>
    <row r="230" spans="15:262"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</row>
    <row r="231" spans="15:262"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</row>
    <row r="232" spans="15:262"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</row>
    <row r="233" spans="15:262"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</row>
    <row r="234" spans="15:262"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</row>
    <row r="235" spans="15:262"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</row>
    <row r="236" spans="15:262"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</row>
    <row r="237" spans="15:262"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</row>
    <row r="238" spans="15:262"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</row>
    <row r="239" spans="15:262"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</row>
    <row r="240" spans="15:262"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</row>
    <row r="241" spans="15:262"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</row>
    <row r="242" spans="15:262"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</row>
    <row r="243" spans="15:262"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</row>
    <row r="244" spans="15:262"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</row>
    <row r="245" spans="15:262"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</row>
    <row r="246" spans="15:262"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</row>
    <row r="247" spans="15:262"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</row>
    <row r="248" spans="15:262"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</row>
    <row r="249" spans="15:262"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</row>
    <row r="250" spans="15:262"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</row>
    <row r="251" spans="15:262"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</row>
    <row r="252" spans="15:262"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</row>
    <row r="253" spans="15:262"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</row>
    <row r="254" spans="15:262"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</row>
    <row r="255" spans="15:262"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</row>
    <row r="256" spans="15:262"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</row>
    <row r="257" spans="15:262"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</row>
    <row r="258" spans="15:262"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</row>
    <row r="259" spans="15:262"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</row>
    <row r="260" spans="15:262"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</row>
    <row r="261" spans="15:262"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</row>
    <row r="262" spans="15:262"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</row>
    <row r="263" spans="15:262"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</row>
    <row r="264" spans="15:262"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</row>
    <row r="265" spans="15:262"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</row>
    <row r="266" spans="15:262"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</row>
    <row r="267" spans="15:262"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</row>
    <row r="268" spans="15:262"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</row>
    <row r="269" spans="15:262"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</row>
    <row r="270" spans="15:262"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</row>
    <row r="271" spans="15:262"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</row>
    <row r="272" spans="15:262"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</row>
    <row r="273" spans="15:262"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</row>
    <row r="274" spans="15:262"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</row>
    <row r="275" spans="15:262"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</row>
    <row r="276" spans="15:262"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</row>
    <row r="277" spans="15:262"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</row>
    <row r="278" spans="15:262"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</row>
    <row r="279" spans="15:262"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</row>
    <row r="280" spans="15:262"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</row>
    <row r="281" spans="15:262"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</row>
    <row r="282" spans="15:262"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</row>
    <row r="283" spans="15:262"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</row>
    <row r="284" spans="15:262"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</row>
    <row r="285" spans="15:262"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</row>
    <row r="286" spans="15:262"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</row>
    <row r="287" spans="15:262"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</row>
    <row r="288" spans="15:262"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</row>
    <row r="289" spans="15:262"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</row>
    <row r="290" spans="15:262"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</row>
    <row r="291" spans="15:262"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</row>
    <row r="292" spans="15:262"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</row>
    <row r="293" spans="15:262"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</row>
    <row r="294" spans="15:262"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</row>
    <row r="295" spans="15:262"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</row>
    <row r="296" spans="15:262"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</row>
    <row r="297" spans="15:262"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</row>
    <row r="298" spans="15:262"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</row>
    <row r="299" spans="15:262"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</row>
    <row r="300" spans="15:262"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</row>
    <row r="301" spans="15:262"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</row>
    <row r="302" spans="15:262"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</row>
    <row r="303" spans="15:262"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</row>
    <row r="304" spans="15:262"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</row>
    <row r="305" spans="15:262"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</row>
    <row r="306" spans="15:262"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</row>
    <row r="307" spans="15:262"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</row>
    <row r="308" spans="15:262"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</row>
    <row r="309" spans="15:262"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</row>
    <row r="310" spans="15:262"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</row>
    <row r="311" spans="15:262"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</row>
    <row r="312" spans="15:262"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</row>
    <row r="313" spans="15:262"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</row>
    <row r="314" spans="15:262"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</row>
    <row r="315" spans="15:262"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</row>
    <row r="316" spans="15:262"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</row>
    <row r="317" spans="15:262"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</row>
    <row r="318" spans="15:262"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</row>
    <row r="319" spans="15:262"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</row>
    <row r="320" spans="15:262"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</row>
    <row r="321" spans="15:262"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</row>
    <row r="322" spans="15:262"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</row>
    <row r="323" spans="15:262"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</row>
    <row r="324" spans="15:262"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</row>
    <row r="325" spans="15:262"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</row>
    <row r="326" spans="15:262"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</row>
    <row r="327" spans="15:262"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</row>
    <row r="328" spans="15:262"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</row>
    <row r="329" spans="15:262"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</row>
    <row r="330" spans="15:262"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</row>
    <row r="331" spans="15:262"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</row>
    <row r="332" spans="15:262"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</row>
    <row r="333" spans="15:262"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</row>
    <row r="334" spans="15:262"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</row>
    <row r="335" spans="15:262"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</row>
    <row r="336" spans="15:262"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</row>
    <row r="337" spans="15:262"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</row>
    <row r="338" spans="15:262"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</row>
    <row r="339" spans="15:262"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</row>
    <row r="340" spans="15:262"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</row>
    <row r="341" spans="15:262"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</row>
    <row r="342" spans="15:262"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</row>
    <row r="343" spans="15:262"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</row>
    <row r="344" spans="15:262"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</row>
    <row r="345" spans="15:262"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</row>
    <row r="346" spans="15:262"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</row>
    <row r="347" spans="15:262"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</row>
    <row r="348" spans="15:262"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</row>
    <row r="349" spans="15:262"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</row>
    <row r="350" spans="15:262"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</row>
    <row r="351" spans="15:262"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</row>
    <row r="352" spans="15:262"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</row>
    <row r="353" spans="15:262"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</row>
    <row r="354" spans="15:262"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</row>
    <row r="355" spans="15:262"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</row>
    <row r="356" spans="15:262"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</row>
    <row r="357" spans="15:262"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</row>
    <row r="358" spans="15:262"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</row>
    <row r="359" spans="15:262"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</row>
    <row r="360" spans="15:262"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</row>
    <row r="361" spans="15:262"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</row>
    <row r="362" spans="15:262"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</row>
    <row r="363" spans="15:262"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</row>
    <row r="364" spans="15:262"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</row>
    <row r="365" spans="15:262"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</row>
    <row r="366" spans="15:262"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</row>
    <row r="367" spans="15:262"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</row>
    <row r="368" spans="15:262"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</row>
    <row r="369" spans="15:262"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</row>
    <row r="370" spans="15:262"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</row>
    <row r="371" spans="15:262"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</row>
    <row r="372" spans="15:262"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</row>
    <row r="373" spans="15:262"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</row>
    <row r="374" spans="15:262"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</row>
    <row r="375" spans="15:262"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</row>
    <row r="376" spans="15:262"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</row>
    <row r="377" spans="15:262"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</row>
    <row r="378" spans="15:262"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</row>
    <row r="379" spans="15:262"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</row>
    <row r="380" spans="15:262"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</row>
    <row r="381" spans="15:262"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</row>
    <row r="382" spans="15:262"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</row>
    <row r="383" spans="15:262"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</row>
  </sheetData>
  <mergeCells count="110">
    <mergeCell ref="I45:I47"/>
    <mergeCell ref="I48:I79"/>
    <mergeCell ref="I80:I93"/>
    <mergeCell ref="K48:K79"/>
    <mergeCell ref="K80:K93"/>
    <mergeCell ref="M80:M93"/>
    <mergeCell ref="B47:H47"/>
    <mergeCell ref="B41:H41"/>
    <mergeCell ref="B40:H40"/>
    <mergeCell ref="B39:H39"/>
    <mergeCell ref="B38:H38"/>
    <mergeCell ref="B46:H46"/>
    <mergeCell ref="B45:H45"/>
    <mergeCell ref="B44:H44"/>
    <mergeCell ref="B43:H43"/>
    <mergeCell ref="B42:H42"/>
    <mergeCell ref="B31:H31"/>
    <mergeCell ref="B30:H30"/>
    <mergeCell ref="B29:H29"/>
    <mergeCell ref="B28:H28"/>
    <mergeCell ref="B27:H27"/>
    <mergeCell ref="B37:H37"/>
    <mergeCell ref="B36:H36"/>
    <mergeCell ref="B35:H35"/>
    <mergeCell ref="B34:H34"/>
    <mergeCell ref="B33:H33"/>
    <mergeCell ref="M4:M5"/>
    <mergeCell ref="B7:H7"/>
    <mergeCell ref="B6:H6"/>
    <mergeCell ref="B23:H23"/>
    <mergeCell ref="L4:L5"/>
    <mergeCell ref="J4:J5"/>
    <mergeCell ref="K4:K5"/>
    <mergeCell ref="B8:H8"/>
    <mergeCell ref="B9:H9"/>
    <mergeCell ref="B10:H10"/>
    <mergeCell ref="B11:H11"/>
    <mergeCell ref="B12:H12"/>
    <mergeCell ref="B50:H50"/>
    <mergeCell ref="B51:H51"/>
    <mergeCell ref="B52:H52"/>
    <mergeCell ref="B53:H53"/>
    <mergeCell ref="B54:H54"/>
    <mergeCell ref="A4:A5"/>
    <mergeCell ref="B4:H5"/>
    <mergeCell ref="I4:I5"/>
    <mergeCell ref="B22:H2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49:H49"/>
    <mergeCell ref="B48:H48"/>
    <mergeCell ref="B24:H24"/>
    <mergeCell ref="B26:H26"/>
    <mergeCell ref="B32:H32"/>
    <mergeCell ref="B85:H85"/>
    <mergeCell ref="B86:H86"/>
    <mergeCell ref="B87:H87"/>
    <mergeCell ref="B88:H88"/>
    <mergeCell ref="B89:H89"/>
    <mergeCell ref="B90:H90"/>
    <mergeCell ref="B91:H91"/>
    <mergeCell ref="A94:M95"/>
    <mergeCell ref="B92:H92"/>
    <mergeCell ref="B93:H93"/>
    <mergeCell ref="B83:H83"/>
    <mergeCell ref="B84:H84"/>
    <mergeCell ref="B71:H71"/>
    <mergeCell ref="B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  <mergeCell ref="M7:M15"/>
    <mergeCell ref="M16:M28"/>
    <mergeCell ref="M29:M44"/>
    <mergeCell ref="M45:M47"/>
    <mergeCell ref="M48:M79"/>
    <mergeCell ref="I7:I15"/>
    <mergeCell ref="I16:I28"/>
    <mergeCell ref="I29:I44"/>
    <mergeCell ref="B69:H69"/>
    <mergeCell ref="B70:H70"/>
    <mergeCell ref="B57:H57"/>
    <mergeCell ref="B58:H58"/>
    <mergeCell ref="B59:H59"/>
    <mergeCell ref="B60:H60"/>
    <mergeCell ref="B61:H61"/>
    <mergeCell ref="B62:H62"/>
    <mergeCell ref="B63:H63"/>
    <mergeCell ref="B64:H64"/>
    <mergeCell ref="B65:H65"/>
    <mergeCell ref="B66:H66"/>
    <mergeCell ref="B67:H67"/>
    <mergeCell ref="B68:H68"/>
    <mergeCell ref="B55:H55"/>
    <mergeCell ref="B56:H56"/>
  </mergeCells>
  <phoneticPr fontId="6" type="noConversion"/>
  <pageMargins left="0.7" right="0.7" top="0.75" bottom="0.75" header="0.3" footer="0.3"/>
  <pageSetup paperSize="9" orientation="landscape" r:id="rId1"/>
  <headerFooter differentFirst="1">
    <oddFooter>&amp;R&amp;"Arial,обычный"&amp;9&amp;K000000Протокол от 20 марта 2026 г. № 1/02.02.26-1-Р/26
Общее количество страниц &amp;N Страница &amp;P</oddFooter>
    <firstFooter>&amp;R&amp;"Arial,обычный"&amp;9Протокол от 20 марта 2026 г. № 1/02.02.26-1-Р/26
Общее количество страниц &amp;N Страница &amp;P</firstFooter>
  </headerFooter>
  <rowBreaks count="1" manualBreakCount="1">
    <brk id="47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2880-EB74-4A70-AFF1-62B30E49F8BC}">
  <dimension ref="A1:HN524"/>
  <sheetViews>
    <sheetView view="pageBreakPreview" topLeftCell="A58" zoomScaleNormal="100" zoomScaleSheetLayoutView="100" workbookViewId="0">
      <selection activeCell="A78" sqref="A78:N78"/>
    </sheetView>
  </sheetViews>
  <sheetFormatPr defaultRowHeight="15"/>
  <cols>
    <col min="1" max="9" width="5" customWidth="1"/>
    <col min="10" max="10" width="2.85546875" customWidth="1"/>
    <col min="11" max="11" width="15" customWidth="1"/>
    <col min="12" max="13" width="17.140625" customWidth="1"/>
    <col min="14" max="14" width="28.28515625" customWidth="1"/>
    <col min="15" max="15" width="5" customWidth="1"/>
    <col min="16" max="16" width="6" bestFit="1" customWidth="1"/>
    <col min="17" max="19" width="4.5703125" customWidth="1"/>
    <col min="20" max="20" width="8" customWidth="1"/>
    <col min="21" max="133" width="4.5703125" customWidth="1"/>
  </cols>
  <sheetData>
    <row r="1" spans="1:221" s="3" customFormat="1">
      <c r="A1" s="3" t="s">
        <v>96</v>
      </c>
      <c r="B1" s="3" t="s">
        <v>97</v>
      </c>
      <c r="C1"/>
      <c r="D1"/>
      <c r="E1"/>
      <c r="F1"/>
      <c r="G1"/>
      <c r="H1"/>
      <c r="I1"/>
      <c r="J1"/>
      <c r="K1"/>
      <c r="L1"/>
      <c r="M1"/>
      <c r="N1"/>
      <c r="O1"/>
      <c r="P1" s="7"/>
    </row>
    <row r="2" spans="1:221" s="3" customFormat="1" ht="9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 s="7"/>
    </row>
    <row r="3" spans="1:221" s="3" customFormat="1" ht="57.75" customHeight="1">
      <c r="A3" s="28" t="s">
        <v>98</v>
      </c>
      <c r="B3" s="59" t="s">
        <v>99</v>
      </c>
      <c r="C3" s="59"/>
      <c r="D3" s="59"/>
      <c r="E3" s="59"/>
      <c r="F3" s="59"/>
      <c r="G3" s="59"/>
      <c r="H3" s="59"/>
      <c r="I3" s="59"/>
      <c r="J3" s="59"/>
      <c r="K3" s="28" t="s">
        <v>53</v>
      </c>
      <c r="L3" s="28" t="s">
        <v>164</v>
      </c>
      <c r="M3" s="28" t="s">
        <v>324</v>
      </c>
      <c r="N3" s="28" t="s">
        <v>100</v>
      </c>
      <c r="O3"/>
      <c r="P3" s="7"/>
    </row>
    <row r="4" spans="1:221" s="3" customFormat="1">
      <c r="A4" s="31">
        <v>1</v>
      </c>
      <c r="B4" s="58">
        <v>2</v>
      </c>
      <c r="C4" s="58"/>
      <c r="D4" s="58"/>
      <c r="E4" s="58"/>
      <c r="F4" s="58"/>
      <c r="G4" s="58"/>
      <c r="H4" s="58"/>
      <c r="I4" s="58"/>
      <c r="J4" s="58"/>
      <c r="K4" s="31">
        <v>3</v>
      </c>
      <c r="L4" s="31">
        <v>4</v>
      </c>
      <c r="M4" s="31">
        <v>5</v>
      </c>
      <c r="N4" s="31">
        <v>6</v>
      </c>
      <c r="O4"/>
      <c r="P4" s="7"/>
    </row>
    <row r="5" spans="1:221" s="3" customFormat="1" ht="15" customHeight="1">
      <c r="A5" s="31">
        <v>1</v>
      </c>
      <c r="B5" s="58" t="s">
        <v>101</v>
      </c>
      <c r="C5" s="58"/>
      <c r="D5" s="58"/>
      <c r="E5" s="58"/>
      <c r="F5" s="58"/>
      <c r="G5" s="58"/>
      <c r="H5" s="58"/>
      <c r="I5" s="58"/>
      <c r="J5" s="58"/>
      <c r="K5" s="55">
        <v>46085</v>
      </c>
      <c r="L5" s="31">
        <v>22</v>
      </c>
      <c r="M5" s="45">
        <f>SQRT(((L5*0.3/L5)^2)/3)*2*L5</f>
        <v>7.6210235533030604</v>
      </c>
      <c r="N5" s="58">
        <v>80</v>
      </c>
      <c r="O5"/>
      <c r="P5" s="7">
        <f t="shared" ref="P5:P36" si="0">$L$74</f>
        <v>21.927536231884059</v>
      </c>
      <c r="T5" s="6">
        <f t="shared" ref="T5:T73" si="1">L5-P5</f>
        <v>7.2463768115941463E-2</v>
      </c>
      <c r="X5" s="3">
        <f t="shared" ref="X5:X73" si="2">30/L5</f>
        <v>1.3636363636363635</v>
      </c>
      <c r="Y5" s="3">
        <f t="shared" ref="Y5:Y73" si="3">(0.3*L5)^2</f>
        <v>43.559999999999995</v>
      </c>
    </row>
    <row r="6" spans="1:221" s="3" customFormat="1">
      <c r="A6" s="31">
        <v>2</v>
      </c>
      <c r="B6" s="58" t="s">
        <v>102</v>
      </c>
      <c r="C6" s="58"/>
      <c r="D6" s="58"/>
      <c r="E6" s="58"/>
      <c r="F6" s="58"/>
      <c r="G6" s="58"/>
      <c r="H6" s="58"/>
      <c r="I6" s="58"/>
      <c r="J6" s="58"/>
      <c r="K6" s="56"/>
      <c r="L6" s="31">
        <v>19</v>
      </c>
      <c r="M6" s="45">
        <f t="shared" ref="M6:M73" si="4">SQRT(((L6*0.3/L6)^2)/3)*2*L6</f>
        <v>6.5817930687617334</v>
      </c>
      <c r="N6" s="58"/>
      <c r="O6"/>
      <c r="P6" s="7">
        <f t="shared" si="0"/>
        <v>21.927536231884059</v>
      </c>
      <c r="Q6" s="6"/>
      <c r="R6" s="6"/>
      <c r="S6" s="6"/>
      <c r="T6" s="6">
        <f t="shared" si="1"/>
        <v>-2.9275362318840585</v>
      </c>
      <c r="U6" s="6"/>
      <c r="V6" s="6"/>
      <c r="W6" s="6"/>
      <c r="X6" s="3">
        <f t="shared" si="2"/>
        <v>1.5789473684210527</v>
      </c>
      <c r="Y6" s="3">
        <f t="shared" si="3"/>
        <v>32.49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</row>
    <row r="7" spans="1:221" s="3" customFormat="1">
      <c r="A7" s="31">
        <v>3</v>
      </c>
      <c r="B7" s="58" t="s">
        <v>103</v>
      </c>
      <c r="C7" s="58"/>
      <c r="D7" s="58"/>
      <c r="E7" s="58"/>
      <c r="F7" s="58"/>
      <c r="G7" s="58"/>
      <c r="H7" s="58"/>
      <c r="I7" s="58"/>
      <c r="J7" s="58"/>
      <c r="K7" s="56"/>
      <c r="L7" s="31">
        <v>22</v>
      </c>
      <c r="M7" s="45">
        <f t="shared" si="4"/>
        <v>7.6210235533030604</v>
      </c>
      <c r="N7" s="58"/>
      <c r="O7"/>
      <c r="P7" s="7">
        <f t="shared" si="0"/>
        <v>21.927536231884059</v>
      </c>
      <c r="Q7" s="6"/>
      <c r="R7" s="6"/>
      <c r="S7" s="6"/>
      <c r="T7" s="6">
        <f t="shared" si="1"/>
        <v>7.2463768115941463E-2</v>
      </c>
      <c r="U7" s="6"/>
      <c r="V7" s="6"/>
      <c r="W7" s="6"/>
      <c r="X7" s="3">
        <f t="shared" si="2"/>
        <v>1.3636363636363635</v>
      </c>
      <c r="Y7" s="3">
        <f t="shared" si="3"/>
        <v>43.559999999999995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</row>
    <row r="8" spans="1:221" s="3" customFormat="1">
      <c r="A8" s="31">
        <v>4</v>
      </c>
      <c r="B8" s="58" t="s">
        <v>104</v>
      </c>
      <c r="C8" s="58"/>
      <c r="D8" s="58"/>
      <c r="E8" s="58"/>
      <c r="F8" s="58"/>
      <c r="G8" s="58"/>
      <c r="H8" s="58"/>
      <c r="I8" s="58"/>
      <c r="J8" s="58"/>
      <c r="K8" s="56"/>
      <c r="L8" s="31">
        <v>24</v>
      </c>
      <c r="M8" s="45">
        <f t="shared" si="4"/>
        <v>8.3138438763306119</v>
      </c>
      <c r="N8" s="58"/>
      <c r="O8"/>
      <c r="P8" s="7">
        <f t="shared" si="0"/>
        <v>21.927536231884059</v>
      </c>
      <c r="Q8" s="6"/>
      <c r="R8" s="6"/>
      <c r="S8" s="6"/>
      <c r="T8" s="6">
        <f t="shared" si="1"/>
        <v>2.0724637681159415</v>
      </c>
      <c r="U8" s="6"/>
      <c r="V8" s="6"/>
      <c r="W8" s="6"/>
      <c r="X8" s="3">
        <f t="shared" si="2"/>
        <v>1.25</v>
      </c>
      <c r="Y8" s="3">
        <f t="shared" si="3"/>
        <v>51.839999999999989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</row>
    <row r="9" spans="1:221" s="3" customFormat="1">
      <c r="A9" s="31">
        <v>5</v>
      </c>
      <c r="B9" s="58" t="s">
        <v>105</v>
      </c>
      <c r="C9" s="58"/>
      <c r="D9" s="58"/>
      <c r="E9" s="58"/>
      <c r="F9" s="58"/>
      <c r="G9" s="58"/>
      <c r="H9" s="58"/>
      <c r="I9" s="58"/>
      <c r="J9" s="58"/>
      <c r="K9" s="56"/>
      <c r="L9" s="31">
        <v>23</v>
      </c>
      <c r="M9" s="45">
        <f t="shared" si="4"/>
        <v>7.9674337148168357</v>
      </c>
      <c r="N9" s="58"/>
      <c r="O9"/>
      <c r="P9" s="7">
        <f t="shared" si="0"/>
        <v>21.927536231884059</v>
      </c>
      <c r="Q9" s="6"/>
      <c r="R9" s="6"/>
      <c r="S9" s="6"/>
      <c r="T9" s="6">
        <f t="shared" si="1"/>
        <v>1.0724637681159415</v>
      </c>
      <c r="U9" s="6"/>
      <c r="V9" s="6"/>
      <c r="W9" s="6"/>
      <c r="X9" s="3">
        <f t="shared" si="2"/>
        <v>1.3043478260869565</v>
      </c>
      <c r="Y9" s="3">
        <f t="shared" si="3"/>
        <v>47.609999999999992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</row>
    <row r="10" spans="1:221" s="3" customFormat="1">
      <c r="A10" s="31">
        <v>6</v>
      </c>
      <c r="B10" s="58" t="s">
        <v>106</v>
      </c>
      <c r="C10" s="58"/>
      <c r="D10" s="58"/>
      <c r="E10" s="58"/>
      <c r="F10" s="58"/>
      <c r="G10" s="58"/>
      <c r="H10" s="58"/>
      <c r="I10" s="58"/>
      <c r="J10" s="58"/>
      <c r="K10" s="56"/>
      <c r="L10" s="31">
        <v>25</v>
      </c>
      <c r="M10" s="45">
        <f t="shared" si="4"/>
        <v>8.6602540378443873</v>
      </c>
      <c r="N10" s="58"/>
      <c r="O10"/>
      <c r="P10" s="7">
        <f t="shared" si="0"/>
        <v>21.927536231884059</v>
      </c>
      <c r="Q10" s="6"/>
      <c r="R10" s="6"/>
      <c r="S10" s="6"/>
      <c r="T10" s="6">
        <f t="shared" si="1"/>
        <v>3.0724637681159415</v>
      </c>
      <c r="U10" s="6"/>
      <c r="V10" s="6"/>
      <c r="W10" s="6"/>
      <c r="X10" s="3">
        <f t="shared" si="2"/>
        <v>1.2</v>
      </c>
      <c r="Y10" s="3">
        <f t="shared" si="3"/>
        <v>56.25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</row>
    <row r="11" spans="1:221" s="3" customFormat="1">
      <c r="A11" s="31">
        <v>7</v>
      </c>
      <c r="B11" s="58" t="s">
        <v>107</v>
      </c>
      <c r="C11" s="58"/>
      <c r="D11" s="58"/>
      <c r="E11" s="58"/>
      <c r="F11" s="58"/>
      <c r="G11" s="58"/>
      <c r="H11" s="58"/>
      <c r="I11" s="58"/>
      <c r="J11" s="58"/>
      <c r="K11" s="56"/>
      <c r="L11" s="31">
        <v>23</v>
      </c>
      <c r="M11" s="45">
        <f t="shared" si="4"/>
        <v>7.9674337148168357</v>
      </c>
      <c r="N11" s="58"/>
      <c r="O11"/>
      <c r="P11" s="7">
        <f t="shared" si="0"/>
        <v>21.927536231884059</v>
      </c>
      <c r="Q11" s="6"/>
      <c r="R11" s="6"/>
      <c r="S11" s="6"/>
      <c r="T11" s="6">
        <f t="shared" si="1"/>
        <v>1.0724637681159415</v>
      </c>
      <c r="U11" s="6"/>
      <c r="V11" s="6"/>
      <c r="W11" s="6"/>
      <c r="X11" s="3">
        <f t="shared" si="2"/>
        <v>1.3043478260869565</v>
      </c>
      <c r="Y11" s="3">
        <f t="shared" si="3"/>
        <v>47.609999999999992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</row>
    <row r="12" spans="1:221" s="3" customFormat="1">
      <c r="A12" s="31">
        <v>8</v>
      </c>
      <c r="B12" s="58" t="s">
        <v>108</v>
      </c>
      <c r="C12" s="58"/>
      <c r="D12" s="58"/>
      <c r="E12" s="58"/>
      <c r="F12" s="58"/>
      <c r="G12" s="58"/>
      <c r="H12" s="58"/>
      <c r="I12" s="58"/>
      <c r="J12" s="58"/>
      <c r="K12" s="56"/>
      <c r="L12" s="31">
        <v>21</v>
      </c>
      <c r="M12" s="45">
        <f t="shared" ref="M12:M18" si="5">SQRT(((L12*0.3/L12)^2)/3)*2*L12</f>
        <v>7.274613391789285</v>
      </c>
      <c r="N12" s="58"/>
      <c r="O12"/>
      <c r="P12" s="7">
        <f t="shared" si="0"/>
        <v>21.927536231884059</v>
      </c>
      <c r="Q12" s="6"/>
      <c r="R12" s="6"/>
      <c r="S12" s="6"/>
      <c r="T12" s="6">
        <f t="shared" ref="T12:T18" si="6">L12-P12</f>
        <v>-0.92753623188405854</v>
      </c>
      <c r="U12" s="6"/>
      <c r="V12" s="6"/>
      <c r="W12" s="6"/>
      <c r="X12" s="3">
        <f t="shared" ref="X12:X18" si="7">30/L12</f>
        <v>1.4285714285714286</v>
      </c>
      <c r="Y12" s="3">
        <f t="shared" ref="Y12:Y18" si="8">(0.3*L12)^2</f>
        <v>39.69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</row>
    <row r="13" spans="1:221" s="3" customFormat="1">
      <c r="A13" s="31">
        <v>9</v>
      </c>
      <c r="B13" s="58" t="s">
        <v>109</v>
      </c>
      <c r="C13" s="58"/>
      <c r="D13" s="58"/>
      <c r="E13" s="58"/>
      <c r="F13" s="58"/>
      <c r="G13" s="58"/>
      <c r="H13" s="58"/>
      <c r="I13" s="58"/>
      <c r="J13" s="58"/>
      <c r="K13" s="56"/>
      <c r="L13" s="31">
        <v>25</v>
      </c>
      <c r="M13" s="45">
        <f t="shared" si="5"/>
        <v>8.6602540378443873</v>
      </c>
      <c r="N13" s="58"/>
      <c r="O13"/>
      <c r="P13" s="7">
        <f t="shared" si="0"/>
        <v>21.927536231884059</v>
      </c>
      <c r="Q13" s="6"/>
      <c r="R13" s="6"/>
      <c r="S13" s="6"/>
      <c r="T13" s="6">
        <f t="shared" si="6"/>
        <v>3.0724637681159415</v>
      </c>
      <c r="U13" s="6"/>
      <c r="V13" s="6"/>
      <c r="W13" s="6"/>
      <c r="X13" s="3">
        <f t="shared" si="7"/>
        <v>1.2</v>
      </c>
      <c r="Y13" s="3">
        <f t="shared" si="8"/>
        <v>56.25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</row>
    <row r="14" spans="1:221" s="3" customFormat="1">
      <c r="A14" s="31">
        <v>10</v>
      </c>
      <c r="B14" s="58" t="s">
        <v>110</v>
      </c>
      <c r="C14" s="58"/>
      <c r="D14" s="58"/>
      <c r="E14" s="58"/>
      <c r="F14" s="58"/>
      <c r="G14" s="58"/>
      <c r="H14" s="58"/>
      <c r="I14" s="58"/>
      <c r="J14" s="58"/>
      <c r="K14" s="56"/>
      <c r="L14" s="31">
        <v>22</v>
      </c>
      <c r="M14" s="45">
        <f t="shared" si="5"/>
        <v>7.6210235533030604</v>
      </c>
      <c r="N14" s="58"/>
      <c r="O14"/>
      <c r="P14" s="7">
        <f t="shared" si="0"/>
        <v>21.927536231884059</v>
      </c>
      <c r="Q14" s="6"/>
      <c r="R14" s="6"/>
      <c r="S14" s="6"/>
      <c r="T14" s="6">
        <f t="shared" si="6"/>
        <v>7.2463768115941463E-2</v>
      </c>
      <c r="U14" s="6"/>
      <c r="V14" s="6"/>
      <c r="W14" s="6"/>
      <c r="X14" s="3">
        <f t="shared" si="7"/>
        <v>1.3636363636363635</v>
      </c>
      <c r="Y14" s="3">
        <f t="shared" si="8"/>
        <v>43.559999999999995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</row>
    <row r="15" spans="1:221" s="3" customFormat="1">
      <c r="A15" s="31">
        <v>11</v>
      </c>
      <c r="B15" s="58" t="s">
        <v>139</v>
      </c>
      <c r="C15" s="58"/>
      <c r="D15" s="58"/>
      <c r="E15" s="58"/>
      <c r="F15" s="58"/>
      <c r="G15" s="58"/>
      <c r="H15" s="58"/>
      <c r="I15" s="58"/>
      <c r="J15" s="58"/>
      <c r="K15" s="56"/>
      <c r="L15" s="31">
        <v>25</v>
      </c>
      <c r="M15" s="45">
        <f t="shared" si="5"/>
        <v>8.6602540378443873</v>
      </c>
      <c r="N15" s="58"/>
      <c r="O15"/>
      <c r="P15" s="7">
        <f t="shared" si="0"/>
        <v>21.927536231884059</v>
      </c>
      <c r="Q15" s="6"/>
      <c r="R15" s="6"/>
      <c r="S15" s="6"/>
      <c r="T15" s="6">
        <f t="shared" si="6"/>
        <v>3.0724637681159415</v>
      </c>
      <c r="U15" s="6"/>
      <c r="V15" s="6"/>
      <c r="W15" s="6"/>
      <c r="X15" s="3">
        <f t="shared" si="7"/>
        <v>1.2</v>
      </c>
      <c r="Y15" s="3">
        <f t="shared" si="8"/>
        <v>56.25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</row>
    <row r="16" spans="1:221" s="3" customFormat="1">
      <c r="A16" s="31">
        <v>12</v>
      </c>
      <c r="B16" s="58" t="s">
        <v>140</v>
      </c>
      <c r="C16" s="58"/>
      <c r="D16" s="58"/>
      <c r="E16" s="58"/>
      <c r="F16" s="58"/>
      <c r="G16" s="58"/>
      <c r="H16" s="58"/>
      <c r="I16" s="58"/>
      <c r="J16" s="58"/>
      <c r="K16" s="56"/>
      <c r="L16" s="31">
        <v>24</v>
      </c>
      <c r="M16" s="45">
        <f t="shared" si="5"/>
        <v>8.3138438763306119</v>
      </c>
      <c r="N16" s="58"/>
      <c r="O16"/>
      <c r="P16" s="7">
        <f t="shared" si="0"/>
        <v>21.927536231884059</v>
      </c>
      <c r="Q16" s="6"/>
      <c r="R16" s="6"/>
      <c r="S16" s="6"/>
      <c r="T16" s="6">
        <f t="shared" si="6"/>
        <v>2.0724637681159415</v>
      </c>
      <c r="U16" s="6"/>
      <c r="V16" s="6"/>
      <c r="W16" s="6"/>
      <c r="X16" s="3">
        <f t="shared" si="7"/>
        <v>1.25</v>
      </c>
      <c r="Y16" s="3">
        <f t="shared" si="8"/>
        <v>51.839999999999989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</row>
    <row r="17" spans="1:221" s="3" customFormat="1">
      <c r="A17" s="31">
        <v>13</v>
      </c>
      <c r="B17" s="58" t="s">
        <v>141</v>
      </c>
      <c r="C17" s="58"/>
      <c r="D17" s="58"/>
      <c r="E17" s="58"/>
      <c r="F17" s="58"/>
      <c r="G17" s="58"/>
      <c r="H17" s="58"/>
      <c r="I17" s="58"/>
      <c r="J17" s="58"/>
      <c r="K17" s="56"/>
      <c r="L17" s="31">
        <v>25</v>
      </c>
      <c r="M17" s="45">
        <f t="shared" si="5"/>
        <v>8.6602540378443873</v>
      </c>
      <c r="N17" s="58"/>
      <c r="O17"/>
      <c r="P17" s="7">
        <f t="shared" si="0"/>
        <v>21.927536231884059</v>
      </c>
      <c r="Q17" s="6"/>
      <c r="R17" s="6"/>
      <c r="S17" s="6"/>
      <c r="T17" s="6">
        <f t="shared" si="6"/>
        <v>3.0724637681159415</v>
      </c>
      <c r="U17" s="6"/>
      <c r="V17" s="6"/>
      <c r="W17" s="6"/>
      <c r="X17" s="3">
        <f t="shared" si="7"/>
        <v>1.2</v>
      </c>
      <c r="Y17" s="3">
        <f t="shared" si="8"/>
        <v>56.25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</row>
    <row r="18" spans="1:221" s="3" customFormat="1">
      <c r="A18" s="31">
        <v>14</v>
      </c>
      <c r="B18" s="58" t="s">
        <v>142</v>
      </c>
      <c r="C18" s="58"/>
      <c r="D18" s="58"/>
      <c r="E18" s="58"/>
      <c r="F18" s="58"/>
      <c r="G18" s="58"/>
      <c r="H18" s="58"/>
      <c r="I18" s="58"/>
      <c r="J18" s="58"/>
      <c r="K18" s="56"/>
      <c r="L18" s="31">
        <v>18</v>
      </c>
      <c r="M18" s="45">
        <f t="shared" si="5"/>
        <v>6.2353829072479581</v>
      </c>
      <c r="N18" s="58"/>
      <c r="O18"/>
      <c r="P18" s="7">
        <f t="shared" si="0"/>
        <v>21.927536231884059</v>
      </c>
      <c r="Q18" s="6"/>
      <c r="R18" s="6"/>
      <c r="S18" s="6"/>
      <c r="T18" s="6">
        <f t="shared" si="6"/>
        <v>-3.9275362318840585</v>
      </c>
      <c r="U18" s="6"/>
      <c r="V18" s="6"/>
      <c r="W18" s="6"/>
      <c r="X18" s="3">
        <f t="shared" si="7"/>
        <v>1.6666666666666667</v>
      </c>
      <c r="Y18" s="3">
        <f t="shared" si="8"/>
        <v>29.159999999999993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</row>
    <row r="19" spans="1:221" s="3" customFormat="1">
      <c r="A19" s="31">
        <v>15</v>
      </c>
      <c r="B19" s="58" t="s">
        <v>143</v>
      </c>
      <c r="C19" s="58"/>
      <c r="D19" s="58"/>
      <c r="E19" s="58"/>
      <c r="F19" s="58"/>
      <c r="G19" s="58"/>
      <c r="H19" s="58"/>
      <c r="I19" s="58"/>
      <c r="J19" s="58"/>
      <c r="K19" s="56"/>
      <c r="L19" s="31">
        <v>21</v>
      </c>
      <c r="M19" s="45">
        <f t="shared" si="4"/>
        <v>7.274613391789285</v>
      </c>
      <c r="N19" s="58"/>
      <c r="O19"/>
      <c r="P19" s="7">
        <f t="shared" si="0"/>
        <v>21.927536231884059</v>
      </c>
      <c r="Q19" s="6"/>
      <c r="R19" s="6"/>
      <c r="S19" s="6"/>
      <c r="T19" s="6">
        <f t="shared" si="1"/>
        <v>-0.92753623188405854</v>
      </c>
      <c r="U19" s="6"/>
      <c r="V19" s="6"/>
      <c r="W19" s="6"/>
      <c r="X19" s="3">
        <f t="shared" si="2"/>
        <v>1.4285714285714286</v>
      </c>
      <c r="Y19" s="3">
        <f t="shared" si="3"/>
        <v>39.69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</row>
    <row r="20" spans="1:221" s="3" customFormat="1">
      <c r="A20" s="31">
        <v>16</v>
      </c>
      <c r="B20" s="58" t="s">
        <v>144</v>
      </c>
      <c r="C20" s="58"/>
      <c r="D20" s="58"/>
      <c r="E20" s="58"/>
      <c r="F20" s="58"/>
      <c r="G20" s="58"/>
      <c r="H20" s="58"/>
      <c r="I20" s="58"/>
      <c r="J20" s="58"/>
      <c r="K20" s="56"/>
      <c r="L20" s="31">
        <v>20</v>
      </c>
      <c r="M20" s="45">
        <f t="shared" si="4"/>
        <v>6.9282032302755088</v>
      </c>
      <c r="N20" s="58"/>
      <c r="O20"/>
      <c r="P20" s="7">
        <f t="shared" si="0"/>
        <v>21.927536231884059</v>
      </c>
      <c r="Q20" s="6"/>
      <c r="R20" s="6"/>
      <c r="S20" s="6"/>
      <c r="T20" s="6">
        <f t="shared" si="1"/>
        <v>-1.9275362318840585</v>
      </c>
      <c r="U20" s="6"/>
      <c r="V20" s="6"/>
      <c r="W20" s="6"/>
      <c r="X20" s="3">
        <f t="shared" si="2"/>
        <v>1.5</v>
      </c>
      <c r="Y20" s="3">
        <f t="shared" si="3"/>
        <v>36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</row>
    <row r="21" spans="1:221" s="3" customFormat="1">
      <c r="A21" s="31">
        <v>17</v>
      </c>
      <c r="B21" s="58" t="s">
        <v>162</v>
      </c>
      <c r="C21" s="58"/>
      <c r="D21" s="58"/>
      <c r="E21" s="58"/>
      <c r="F21" s="58"/>
      <c r="G21" s="58"/>
      <c r="H21" s="58"/>
      <c r="I21" s="58"/>
      <c r="J21" s="58"/>
      <c r="K21" s="56"/>
      <c r="L21" s="31">
        <v>23</v>
      </c>
      <c r="M21" s="45">
        <f t="shared" si="4"/>
        <v>7.9674337148168357</v>
      </c>
      <c r="N21" s="58"/>
      <c r="O21"/>
      <c r="P21" s="7">
        <f t="shared" si="0"/>
        <v>21.927536231884059</v>
      </c>
      <c r="Q21" s="6"/>
      <c r="R21" s="6"/>
      <c r="S21" s="6"/>
      <c r="T21" s="6">
        <f t="shared" si="1"/>
        <v>1.0724637681159415</v>
      </c>
      <c r="U21" s="6"/>
      <c r="V21" s="6"/>
      <c r="W21" s="6"/>
      <c r="X21" s="3">
        <f t="shared" si="2"/>
        <v>1.3043478260869565</v>
      </c>
      <c r="Y21" s="3">
        <f t="shared" si="3"/>
        <v>47.609999999999992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</row>
    <row r="22" spans="1:221" s="3" customFormat="1">
      <c r="A22" s="31">
        <v>18</v>
      </c>
      <c r="B22" s="58" t="s">
        <v>163</v>
      </c>
      <c r="C22" s="58"/>
      <c r="D22" s="58"/>
      <c r="E22" s="58"/>
      <c r="F22" s="58"/>
      <c r="G22" s="58"/>
      <c r="H22" s="58"/>
      <c r="I22" s="58"/>
      <c r="J22" s="58"/>
      <c r="K22" s="56"/>
      <c r="L22" s="31">
        <v>24</v>
      </c>
      <c r="M22" s="45">
        <f t="shared" si="4"/>
        <v>8.3138438763306119</v>
      </c>
      <c r="N22" s="58"/>
      <c r="O22"/>
      <c r="P22" s="7">
        <f t="shared" si="0"/>
        <v>21.927536231884059</v>
      </c>
      <c r="Q22" s="6"/>
      <c r="R22" s="6"/>
      <c r="S22" s="6"/>
      <c r="T22" s="6">
        <f t="shared" si="1"/>
        <v>2.0724637681159415</v>
      </c>
      <c r="U22" s="6"/>
      <c r="V22" s="6"/>
      <c r="W22" s="6"/>
      <c r="X22" s="3">
        <f t="shared" si="2"/>
        <v>1.25</v>
      </c>
      <c r="Y22" s="3">
        <f t="shared" si="3"/>
        <v>51.839999999999989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</row>
    <row r="23" spans="1:221" s="3" customFormat="1">
      <c r="A23" s="31">
        <v>19</v>
      </c>
      <c r="B23" s="58" t="s">
        <v>270</v>
      </c>
      <c r="C23" s="58"/>
      <c r="D23" s="58"/>
      <c r="E23" s="58"/>
      <c r="F23" s="58"/>
      <c r="G23" s="58"/>
      <c r="H23" s="58"/>
      <c r="I23" s="58"/>
      <c r="J23" s="58"/>
      <c r="K23" s="56"/>
      <c r="L23" s="31">
        <v>23</v>
      </c>
      <c r="M23" s="45">
        <f t="shared" si="4"/>
        <v>7.9674337148168357</v>
      </c>
      <c r="N23" s="58"/>
      <c r="O23"/>
      <c r="P23" s="7">
        <f t="shared" si="0"/>
        <v>21.927536231884059</v>
      </c>
      <c r="Q23" s="6"/>
      <c r="R23" s="6"/>
      <c r="S23" s="6"/>
      <c r="T23" s="6">
        <f t="shared" si="1"/>
        <v>1.0724637681159415</v>
      </c>
      <c r="U23" s="6"/>
      <c r="V23" s="6"/>
      <c r="W23" s="6"/>
      <c r="X23" s="3">
        <f t="shared" si="2"/>
        <v>1.3043478260869565</v>
      </c>
      <c r="Y23" s="3">
        <f t="shared" si="3"/>
        <v>47.609999999999992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</row>
    <row r="24" spans="1:221" s="3" customFormat="1">
      <c r="A24" s="31">
        <v>20</v>
      </c>
      <c r="B24" s="58" t="s">
        <v>271</v>
      </c>
      <c r="C24" s="58"/>
      <c r="D24" s="58"/>
      <c r="E24" s="58"/>
      <c r="F24" s="58"/>
      <c r="G24" s="58"/>
      <c r="H24" s="58"/>
      <c r="I24" s="58"/>
      <c r="J24" s="58"/>
      <c r="K24" s="57"/>
      <c r="L24" s="31">
        <v>22</v>
      </c>
      <c r="M24" s="45">
        <f t="shared" si="4"/>
        <v>7.6210235533030604</v>
      </c>
      <c r="N24" s="58"/>
      <c r="O24"/>
      <c r="P24" s="7">
        <f t="shared" si="0"/>
        <v>21.927536231884059</v>
      </c>
      <c r="Q24" s="6"/>
      <c r="R24" s="6"/>
      <c r="S24" s="6"/>
      <c r="T24" s="6">
        <f t="shared" si="1"/>
        <v>7.2463768115941463E-2</v>
      </c>
      <c r="U24" s="6"/>
      <c r="V24" s="6"/>
      <c r="W24" s="6"/>
      <c r="X24" s="3">
        <f t="shared" si="2"/>
        <v>1.3636363636363635</v>
      </c>
      <c r="Y24" s="3">
        <f t="shared" si="3"/>
        <v>43.559999999999995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</row>
    <row r="25" spans="1:221" s="3" customFormat="1">
      <c r="A25" s="31">
        <v>21</v>
      </c>
      <c r="B25" s="58" t="s">
        <v>272</v>
      </c>
      <c r="C25" s="58"/>
      <c r="D25" s="58"/>
      <c r="E25" s="58"/>
      <c r="F25" s="58"/>
      <c r="G25" s="58"/>
      <c r="H25" s="58"/>
      <c r="I25" s="58"/>
      <c r="J25" s="58"/>
      <c r="K25" s="55">
        <v>46086</v>
      </c>
      <c r="L25" s="31">
        <v>25</v>
      </c>
      <c r="M25" s="45">
        <f t="shared" si="4"/>
        <v>8.6602540378443873</v>
      </c>
      <c r="N25" s="58"/>
      <c r="O25"/>
      <c r="P25" s="7">
        <f t="shared" si="0"/>
        <v>21.927536231884059</v>
      </c>
      <c r="Q25" s="6"/>
      <c r="R25" s="6"/>
      <c r="S25" s="6"/>
      <c r="T25" s="6">
        <f t="shared" si="1"/>
        <v>3.0724637681159415</v>
      </c>
      <c r="U25" s="6"/>
      <c r="V25" s="6"/>
      <c r="W25" s="6"/>
      <c r="X25" s="3">
        <f t="shared" si="2"/>
        <v>1.2</v>
      </c>
      <c r="Y25" s="3">
        <f t="shared" si="3"/>
        <v>56.25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</row>
    <row r="26" spans="1:221" s="3" customFormat="1">
      <c r="A26" s="31">
        <v>22</v>
      </c>
      <c r="B26" s="58" t="s">
        <v>273</v>
      </c>
      <c r="C26" s="58"/>
      <c r="D26" s="58"/>
      <c r="E26" s="58"/>
      <c r="F26" s="58"/>
      <c r="G26" s="58"/>
      <c r="H26" s="58"/>
      <c r="I26" s="58"/>
      <c r="J26" s="58"/>
      <c r="K26" s="56"/>
      <c r="L26" s="31">
        <v>19</v>
      </c>
      <c r="M26" s="45">
        <f t="shared" ref="M26:M32" si="9">SQRT(((L26*0.3/L26)^2)/3)*2*L26</f>
        <v>6.5817930687617334</v>
      </c>
      <c r="N26" s="58"/>
      <c r="O26"/>
      <c r="P26" s="7">
        <f t="shared" si="0"/>
        <v>21.927536231884059</v>
      </c>
      <c r="Q26" s="6"/>
      <c r="R26" s="6"/>
      <c r="S26" s="6"/>
      <c r="T26" s="6">
        <f t="shared" ref="T26:T32" si="10">L26-P26</f>
        <v>-2.9275362318840585</v>
      </c>
      <c r="U26" s="6"/>
      <c r="V26" s="6"/>
      <c r="W26" s="6"/>
      <c r="X26" s="3">
        <f t="shared" ref="X26:X32" si="11">30/L26</f>
        <v>1.5789473684210527</v>
      </c>
      <c r="Y26" s="3">
        <f t="shared" ref="Y26:Y32" si="12">(0.3*L26)^2</f>
        <v>32.49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</row>
    <row r="27" spans="1:221" s="3" customFormat="1">
      <c r="A27" s="31">
        <v>23</v>
      </c>
      <c r="B27" s="58" t="s">
        <v>274</v>
      </c>
      <c r="C27" s="58"/>
      <c r="D27" s="58"/>
      <c r="E27" s="58"/>
      <c r="F27" s="58"/>
      <c r="G27" s="58"/>
      <c r="H27" s="58"/>
      <c r="I27" s="58"/>
      <c r="J27" s="58"/>
      <c r="K27" s="56"/>
      <c r="L27" s="31">
        <v>23</v>
      </c>
      <c r="M27" s="45">
        <f t="shared" si="9"/>
        <v>7.9674337148168357</v>
      </c>
      <c r="N27" s="58"/>
      <c r="O27"/>
      <c r="P27" s="7">
        <f t="shared" si="0"/>
        <v>21.927536231884059</v>
      </c>
      <c r="Q27" s="6"/>
      <c r="R27" s="6"/>
      <c r="S27" s="6"/>
      <c r="T27" s="6">
        <f t="shared" si="10"/>
        <v>1.0724637681159415</v>
      </c>
      <c r="U27" s="6"/>
      <c r="V27" s="6"/>
      <c r="W27" s="6"/>
      <c r="X27" s="3">
        <f t="shared" si="11"/>
        <v>1.3043478260869565</v>
      </c>
      <c r="Y27" s="3">
        <f t="shared" si="12"/>
        <v>47.609999999999992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</row>
    <row r="28" spans="1:221" s="3" customFormat="1">
      <c r="A28" s="31">
        <v>24</v>
      </c>
      <c r="B28" s="58" t="s">
        <v>275</v>
      </c>
      <c r="C28" s="58"/>
      <c r="D28" s="58"/>
      <c r="E28" s="58"/>
      <c r="F28" s="58"/>
      <c r="G28" s="58"/>
      <c r="H28" s="58"/>
      <c r="I28" s="58"/>
      <c r="J28" s="58"/>
      <c r="K28" s="56"/>
      <c r="L28" s="31">
        <v>24</v>
      </c>
      <c r="M28" s="45">
        <f t="shared" si="9"/>
        <v>8.3138438763306119</v>
      </c>
      <c r="N28" s="58"/>
      <c r="O28"/>
      <c r="P28" s="7">
        <f t="shared" si="0"/>
        <v>21.927536231884059</v>
      </c>
      <c r="Q28" s="6"/>
      <c r="R28" s="6"/>
      <c r="S28" s="6"/>
      <c r="T28" s="6">
        <f t="shared" si="10"/>
        <v>2.0724637681159415</v>
      </c>
      <c r="U28" s="6"/>
      <c r="V28" s="6"/>
      <c r="W28" s="6"/>
      <c r="X28" s="3">
        <f t="shared" si="11"/>
        <v>1.25</v>
      </c>
      <c r="Y28" s="3">
        <f t="shared" si="12"/>
        <v>51.839999999999989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</row>
    <row r="29" spans="1:221" s="3" customFormat="1">
      <c r="A29" s="31">
        <v>25</v>
      </c>
      <c r="B29" s="58" t="s">
        <v>276</v>
      </c>
      <c r="C29" s="58"/>
      <c r="D29" s="58"/>
      <c r="E29" s="58"/>
      <c r="F29" s="58"/>
      <c r="G29" s="58"/>
      <c r="H29" s="58"/>
      <c r="I29" s="58"/>
      <c r="J29" s="58"/>
      <c r="K29" s="56"/>
      <c r="L29" s="31">
        <v>20</v>
      </c>
      <c r="M29" s="45">
        <f t="shared" si="9"/>
        <v>6.9282032302755088</v>
      </c>
      <c r="N29" s="58"/>
      <c r="O29"/>
      <c r="P29" s="7">
        <f t="shared" si="0"/>
        <v>21.927536231884059</v>
      </c>
      <c r="Q29" s="6"/>
      <c r="R29" s="6"/>
      <c r="S29" s="6"/>
      <c r="T29" s="6">
        <f t="shared" si="10"/>
        <v>-1.9275362318840585</v>
      </c>
      <c r="U29" s="6"/>
      <c r="V29" s="6"/>
      <c r="W29" s="6"/>
      <c r="X29" s="3">
        <f t="shared" si="11"/>
        <v>1.5</v>
      </c>
      <c r="Y29" s="3">
        <f t="shared" si="12"/>
        <v>36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</row>
    <row r="30" spans="1:221" s="3" customFormat="1">
      <c r="A30" s="31">
        <v>26</v>
      </c>
      <c r="B30" s="58" t="s">
        <v>277</v>
      </c>
      <c r="C30" s="58"/>
      <c r="D30" s="58"/>
      <c r="E30" s="58"/>
      <c r="F30" s="58"/>
      <c r="G30" s="58"/>
      <c r="H30" s="58"/>
      <c r="I30" s="58"/>
      <c r="J30" s="58"/>
      <c r="K30" s="56"/>
      <c r="L30" s="31">
        <v>24</v>
      </c>
      <c r="M30" s="45">
        <f t="shared" si="9"/>
        <v>8.3138438763306119</v>
      </c>
      <c r="N30" s="58"/>
      <c r="O30"/>
      <c r="P30" s="7">
        <f t="shared" si="0"/>
        <v>21.927536231884059</v>
      </c>
      <c r="Q30" s="6"/>
      <c r="R30" s="6"/>
      <c r="S30" s="6"/>
      <c r="T30" s="6">
        <f t="shared" si="10"/>
        <v>2.0724637681159415</v>
      </c>
      <c r="U30" s="6"/>
      <c r="V30" s="6"/>
      <c r="W30" s="6"/>
      <c r="X30" s="3">
        <f t="shared" si="11"/>
        <v>1.25</v>
      </c>
      <c r="Y30" s="3">
        <f t="shared" si="12"/>
        <v>51.839999999999989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</row>
    <row r="31" spans="1:221" s="3" customFormat="1">
      <c r="A31" s="31">
        <v>27</v>
      </c>
      <c r="B31" s="58" t="s">
        <v>278</v>
      </c>
      <c r="C31" s="58"/>
      <c r="D31" s="58"/>
      <c r="E31" s="58"/>
      <c r="F31" s="58"/>
      <c r="G31" s="58"/>
      <c r="H31" s="58"/>
      <c r="I31" s="58"/>
      <c r="J31" s="58"/>
      <c r="K31" s="57"/>
      <c r="L31" s="31">
        <v>20</v>
      </c>
      <c r="M31" s="45">
        <f t="shared" si="9"/>
        <v>6.9282032302755088</v>
      </c>
      <c r="N31" s="58"/>
      <c r="O31"/>
      <c r="P31" s="7">
        <f t="shared" si="0"/>
        <v>21.927536231884059</v>
      </c>
      <c r="Q31" s="6"/>
      <c r="R31" s="6"/>
      <c r="S31" s="6"/>
      <c r="T31" s="6">
        <f t="shared" si="10"/>
        <v>-1.9275362318840585</v>
      </c>
      <c r="U31" s="6"/>
      <c r="V31" s="6"/>
      <c r="W31" s="6"/>
      <c r="X31" s="3">
        <f t="shared" si="11"/>
        <v>1.5</v>
      </c>
      <c r="Y31" s="3">
        <f t="shared" si="12"/>
        <v>36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</row>
    <row r="32" spans="1:221" s="3" customFormat="1" ht="15" customHeight="1">
      <c r="A32" s="31">
        <v>28</v>
      </c>
      <c r="B32" s="58" t="s">
        <v>279</v>
      </c>
      <c r="C32" s="58"/>
      <c r="D32" s="58"/>
      <c r="E32" s="58"/>
      <c r="F32" s="58"/>
      <c r="G32" s="58"/>
      <c r="H32" s="58"/>
      <c r="I32" s="58"/>
      <c r="J32" s="58"/>
      <c r="K32" s="55">
        <v>46086</v>
      </c>
      <c r="L32" s="31">
        <v>26</v>
      </c>
      <c r="M32" s="45">
        <f t="shared" si="9"/>
        <v>9.0066641993581626</v>
      </c>
      <c r="N32" s="58">
        <v>80</v>
      </c>
      <c r="O32"/>
      <c r="P32" s="7">
        <f t="shared" si="0"/>
        <v>21.927536231884059</v>
      </c>
      <c r="Q32" s="6"/>
      <c r="R32" s="6"/>
      <c r="S32" s="6"/>
      <c r="T32" s="6">
        <f t="shared" si="10"/>
        <v>4.0724637681159415</v>
      </c>
      <c r="U32" s="6"/>
      <c r="V32" s="6"/>
      <c r="W32" s="6"/>
      <c r="X32" s="3">
        <f t="shared" si="11"/>
        <v>1.1538461538461537</v>
      </c>
      <c r="Y32" s="3">
        <f t="shared" si="12"/>
        <v>60.839999999999996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</row>
    <row r="33" spans="1:221" s="3" customFormat="1">
      <c r="A33" s="31">
        <v>29</v>
      </c>
      <c r="B33" s="58" t="s">
        <v>280</v>
      </c>
      <c r="C33" s="58"/>
      <c r="D33" s="58"/>
      <c r="E33" s="58"/>
      <c r="F33" s="58"/>
      <c r="G33" s="58"/>
      <c r="H33" s="58"/>
      <c r="I33" s="58"/>
      <c r="J33" s="58"/>
      <c r="K33" s="56"/>
      <c r="L33" s="31">
        <v>19</v>
      </c>
      <c r="M33" s="45">
        <f t="shared" si="4"/>
        <v>6.5817930687617334</v>
      </c>
      <c r="N33" s="58"/>
      <c r="O33"/>
      <c r="P33" s="7">
        <f t="shared" si="0"/>
        <v>21.927536231884059</v>
      </c>
      <c r="Q33" s="6"/>
      <c r="R33" s="6"/>
      <c r="S33" s="6"/>
      <c r="T33" s="6">
        <f t="shared" si="1"/>
        <v>-2.9275362318840585</v>
      </c>
      <c r="U33" s="6"/>
      <c r="V33" s="6"/>
      <c r="W33" s="6"/>
      <c r="X33" s="3">
        <f t="shared" si="2"/>
        <v>1.5789473684210527</v>
      </c>
      <c r="Y33" s="3">
        <f t="shared" si="3"/>
        <v>32.49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</row>
    <row r="34" spans="1:221" s="3" customFormat="1">
      <c r="A34" s="31">
        <v>30</v>
      </c>
      <c r="B34" s="58" t="s">
        <v>281</v>
      </c>
      <c r="C34" s="58"/>
      <c r="D34" s="58"/>
      <c r="E34" s="58"/>
      <c r="F34" s="58"/>
      <c r="G34" s="58"/>
      <c r="H34" s="58"/>
      <c r="I34" s="58"/>
      <c r="J34" s="58"/>
      <c r="K34" s="56"/>
      <c r="L34" s="31">
        <v>20</v>
      </c>
      <c r="M34" s="45">
        <f t="shared" si="4"/>
        <v>6.9282032302755088</v>
      </c>
      <c r="N34" s="58"/>
      <c r="O34"/>
      <c r="P34" s="7">
        <f t="shared" si="0"/>
        <v>21.927536231884059</v>
      </c>
      <c r="Q34" s="6"/>
      <c r="R34" s="6"/>
      <c r="S34" s="6"/>
      <c r="T34" s="6">
        <f t="shared" si="1"/>
        <v>-1.9275362318840585</v>
      </c>
      <c r="U34" s="6"/>
      <c r="V34" s="6"/>
      <c r="W34" s="6"/>
      <c r="X34" s="3">
        <f t="shared" si="2"/>
        <v>1.5</v>
      </c>
      <c r="Y34" s="3">
        <f t="shared" si="3"/>
        <v>36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</row>
    <row r="35" spans="1:221" s="3" customFormat="1">
      <c r="A35" s="31">
        <v>31</v>
      </c>
      <c r="B35" s="58" t="s">
        <v>282</v>
      </c>
      <c r="C35" s="58"/>
      <c r="D35" s="58"/>
      <c r="E35" s="58"/>
      <c r="F35" s="58"/>
      <c r="G35" s="58"/>
      <c r="H35" s="58"/>
      <c r="I35" s="58"/>
      <c r="J35" s="58"/>
      <c r="K35" s="56"/>
      <c r="L35" s="31">
        <v>21</v>
      </c>
      <c r="M35" s="45">
        <f t="shared" si="4"/>
        <v>7.274613391789285</v>
      </c>
      <c r="N35" s="58"/>
      <c r="O35"/>
      <c r="P35" s="7">
        <f t="shared" si="0"/>
        <v>21.927536231884059</v>
      </c>
      <c r="Q35" s="6"/>
      <c r="R35" s="6"/>
      <c r="S35" s="6"/>
      <c r="T35" s="6">
        <f t="shared" si="1"/>
        <v>-0.92753623188405854</v>
      </c>
      <c r="U35" s="6"/>
      <c r="V35" s="6"/>
      <c r="W35" s="6"/>
      <c r="X35" s="3">
        <f t="shared" si="2"/>
        <v>1.4285714285714286</v>
      </c>
      <c r="Y35" s="3">
        <f t="shared" si="3"/>
        <v>39.69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</row>
    <row r="36" spans="1:221" s="3" customFormat="1">
      <c r="A36" s="31">
        <v>32</v>
      </c>
      <c r="B36" s="58" t="s">
        <v>283</v>
      </c>
      <c r="C36" s="58"/>
      <c r="D36" s="58"/>
      <c r="E36" s="58"/>
      <c r="F36" s="58"/>
      <c r="G36" s="58"/>
      <c r="H36" s="58"/>
      <c r="I36" s="58"/>
      <c r="J36" s="58"/>
      <c r="K36" s="56"/>
      <c r="L36" s="31">
        <v>25</v>
      </c>
      <c r="M36" s="45">
        <f t="shared" si="4"/>
        <v>8.6602540378443873</v>
      </c>
      <c r="N36" s="58"/>
      <c r="O36"/>
      <c r="P36" s="7">
        <f t="shared" si="0"/>
        <v>21.927536231884059</v>
      </c>
      <c r="Q36" s="6"/>
      <c r="R36" s="6"/>
      <c r="S36" s="6"/>
      <c r="T36" s="6">
        <f t="shared" si="1"/>
        <v>3.0724637681159415</v>
      </c>
      <c r="U36" s="6"/>
      <c r="V36" s="6"/>
      <c r="W36" s="6"/>
      <c r="X36" s="3">
        <f t="shared" si="2"/>
        <v>1.2</v>
      </c>
      <c r="Y36" s="3">
        <f t="shared" si="3"/>
        <v>56.25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</row>
    <row r="37" spans="1:221" s="3" customFormat="1">
      <c r="A37" s="31">
        <v>33</v>
      </c>
      <c r="B37" s="58" t="s">
        <v>284</v>
      </c>
      <c r="C37" s="58"/>
      <c r="D37" s="58"/>
      <c r="E37" s="58"/>
      <c r="F37" s="58"/>
      <c r="G37" s="58"/>
      <c r="H37" s="58"/>
      <c r="I37" s="58"/>
      <c r="J37" s="58"/>
      <c r="K37" s="56"/>
      <c r="L37" s="31">
        <v>18</v>
      </c>
      <c r="M37" s="45">
        <f t="shared" si="4"/>
        <v>6.2353829072479581</v>
      </c>
      <c r="N37" s="58"/>
      <c r="O37"/>
      <c r="P37" s="7">
        <f t="shared" ref="P37:P73" si="13">$L$74</f>
        <v>21.927536231884059</v>
      </c>
      <c r="Q37" s="6"/>
      <c r="R37" s="6"/>
      <c r="S37" s="6"/>
      <c r="T37" s="6">
        <f t="shared" si="1"/>
        <v>-3.9275362318840585</v>
      </c>
      <c r="U37" s="6"/>
      <c r="V37" s="6"/>
      <c r="W37" s="6"/>
      <c r="X37" s="3">
        <f t="shared" si="2"/>
        <v>1.6666666666666667</v>
      </c>
      <c r="Y37" s="3">
        <f t="shared" si="3"/>
        <v>29.159999999999993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</row>
    <row r="38" spans="1:221" s="3" customFormat="1">
      <c r="A38" s="31">
        <v>34</v>
      </c>
      <c r="B38" s="58" t="s">
        <v>285</v>
      </c>
      <c r="C38" s="58"/>
      <c r="D38" s="58"/>
      <c r="E38" s="58"/>
      <c r="F38" s="58"/>
      <c r="G38" s="58"/>
      <c r="H38" s="58"/>
      <c r="I38" s="58"/>
      <c r="J38" s="58"/>
      <c r="K38" s="56"/>
      <c r="L38" s="31">
        <v>21</v>
      </c>
      <c r="M38" s="45">
        <f t="shared" si="4"/>
        <v>7.274613391789285</v>
      </c>
      <c r="N38" s="58"/>
      <c r="O38"/>
      <c r="P38" s="7">
        <f t="shared" si="13"/>
        <v>21.927536231884059</v>
      </c>
      <c r="Q38" s="6"/>
      <c r="R38" s="6"/>
      <c r="S38" s="6"/>
      <c r="T38" s="6">
        <f t="shared" si="1"/>
        <v>-0.92753623188405854</v>
      </c>
      <c r="U38" s="6"/>
      <c r="V38" s="6"/>
      <c r="W38" s="6"/>
      <c r="X38" s="3">
        <f t="shared" si="2"/>
        <v>1.4285714285714286</v>
      </c>
      <c r="Y38" s="3">
        <f t="shared" si="3"/>
        <v>39.69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</row>
    <row r="39" spans="1:221" s="3" customFormat="1">
      <c r="A39" s="31">
        <v>35</v>
      </c>
      <c r="B39" s="58" t="s">
        <v>286</v>
      </c>
      <c r="C39" s="58"/>
      <c r="D39" s="58"/>
      <c r="E39" s="58"/>
      <c r="F39" s="58"/>
      <c r="G39" s="58"/>
      <c r="H39" s="58"/>
      <c r="I39" s="58"/>
      <c r="J39" s="58"/>
      <c r="K39" s="56"/>
      <c r="L39" s="31">
        <v>22</v>
      </c>
      <c r="M39" s="45">
        <f t="shared" si="4"/>
        <v>7.6210235533030604</v>
      </c>
      <c r="N39" s="58"/>
      <c r="O39"/>
      <c r="P39" s="7">
        <f t="shared" si="13"/>
        <v>21.927536231884059</v>
      </c>
      <c r="Q39" s="6"/>
      <c r="R39" s="6"/>
      <c r="S39" s="6"/>
      <c r="T39" s="6">
        <f t="shared" si="1"/>
        <v>7.2463768115941463E-2</v>
      </c>
      <c r="U39" s="6"/>
      <c r="V39" s="6"/>
      <c r="W39" s="6"/>
      <c r="X39" s="3">
        <f t="shared" si="2"/>
        <v>1.3636363636363635</v>
      </c>
      <c r="Y39" s="3">
        <f t="shared" si="3"/>
        <v>43.559999999999995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</row>
    <row r="40" spans="1:221" s="3" customFormat="1">
      <c r="A40" s="31">
        <v>36</v>
      </c>
      <c r="B40" s="58" t="s">
        <v>287</v>
      </c>
      <c r="C40" s="58"/>
      <c r="D40" s="58"/>
      <c r="E40" s="58"/>
      <c r="F40" s="58"/>
      <c r="G40" s="58"/>
      <c r="H40" s="58"/>
      <c r="I40" s="58"/>
      <c r="J40" s="58"/>
      <c r="K40" s="56"/>
      <c r="L40" s="31">
        <v>22</v>
      </c>
      <c r="M40" s="45">
        <f t="shared" ref="M40:M46" si="14">SQRT(((L40*0.3/L40)^2)/3)*2*L40</f>
        <v>7.6210235533030604</v>
      </c>
      <c r="N40" s="58"/>
      <c r="O40"/>
      <c r="P40" s="7">
        <f t="shared" si="13"/>
        <v>21.927536231884059</v>
      </c>
      <c r="Q40" s="6"/>
      <c r="R40" s="6"/>
      <c r="S40" s="6"/>
      <c r="T40" s="6">
        <f t="shared" ref="T40:T46" si="15">L40-P40</f>
        <v>7.2463768115941463E-2</v>
      </c>
      <c r="U40" s="6"/>
      <c r="V40" s="6"/>
      <c r="W40" s="6"/>
      <c r="X40" s="3">
        <f t="shared" ref="X40:X46" si="16">30/L40</f>
        <v>1.3636363636363635</v>
      </c>
      <c r="Y40" s="3">
        <f t="shared" ref="Y40:Y46" si="17">(0.3*L40)^2</f>
        <v>43.559999999999995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</row>
    <row r="41" spans="1:221" s="3" customFormat="1">
      <c r="A41" s="31">
        <v>37</v>
      </c>
      <c r="B41" s="58" t="s">
        <v>288</v>
      </c>
      <c r="C41" s="58"/>
      <c r="D41" s="58"/>
      <c r="E41" s="58"/>
      <c r="F41" s="58"/>
      <c r="G41" s="58"/>
      <c r="H41" s="58"/>
      <c r="I41" s="58"/>
      <c r="J41" s="58"/>
      <c r="K41" s="56"/>
      <c r="L41" s="31">
        <v>19</v>
      </c>
      <c r="M41" s="45">
        <f t="shared" si="14"/>
        <v>6.5817930687617334</v>
      </c>
      <c r="N41" s="58"/>
      <c r="O41"/>
      <c r="P41" s="7">
        <f t="shared" si="13"/>
        <v>21.927536231884059</v>
      </c>
      <c r="Q41" s="6"/>
      <c r="R41" s="6"/>
      <c r="S41" s="6"/>
      <c r="T41" s="6">
        <f t="shared" si="15"/>
        <v>-2.9275362318840585</v>
      </c>
      <c r="U41" s="6"/>
      <c r="V41" s="6"/>
      <c r="W41" s="6"/>
      <c r="X41" s="3">
        <f t="shared" si="16"/>
        <v>1.5789473684210527</v>
      </c>
      <c r="Y41" s="3">
        <f t="shared" si="17"/>
        <v>32.49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</row>
    <row r="42" spans="1:221" s="3" customFormat="1">
      <c r="A42" s="31">
        <v>38</v>
      </c>
      <c r="B42" s="58" t="s">
        <v>289</v>
      </c>
      <c r="C42" s="58"/>
      <c r="D42" s="58"/>
      <c r="E42" s="58"/>
      <c r="F42" s="58"/>
      <c r="G42" s="58"/>
      <c r="H42" s="58"/>
      <c r="I42" s="58"/>
      <c r="J42" s="58"/>
      <c r="K42" s="56"/>
      <c r="L42" s="31">
        <v>25</v>
      </c>
      <c r="M42" s="45">
        <f t="shared" si="14"/>
        <v>8.6602540378443873</v>
      </c>
      <c r="N42" s="58"/>
      <c r="O42"/>
      <c r="P42" s="7">
        <f t="shared" si="13"/>
        <v>21.927536231884059</v>
      </c>
      <c r="Q42" s="6"/>
      <c r="R42" s="6"/>
      <c r="S42" s="6"/>
      <c r="T42" s="6">
        <f t="shared" si="15"/>
        <v>3.0724637681159415</v>
      </c>
      <c r="U42" s="6"/>
      <c r="V42" s="6"/>
      <c r="W42" s="6"/>
      <c r="X42" s="3">
        <f t="shared" si="16"/>
        <v>1.2</v>
      </c>
      <c r="Y42" s="3">
        <f t="shared" si="17"/>
        <v>56.25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</row>
    <row r="43" spans="1:221" s="3" customFormat="1">
      <c r="A43" s="31">
        <v>39</v>
      </c>
      <c r="B43" s="58" t="s">
        <v>290</v>
      </c>
      <c r="C43" s="58"/>
      <c r="D43" s="58"/>
      <c r="E43" s="58"/>
      <c r="F43" s="58"/>
      <c r="G43" s="58"/>
      <c r="H43" s="58"/>
      <c r="I43" s="58"/>
      <c r="J43" s="58"/>
      <c r="K43" s="56"/>
      <c r="L43" s="31">
        <v>19</v>
      </c>
      <c r="M43" s="45">
        <f t="shared" si="14"/>
        <v>6.5817930687617334</v>
      </c>
      <c r="N43" s="58"/>
      <c r="O43"/>
      <c r="P43" s="7">
        <f t="shared" si="13"/>
        <v>21.927536231884059</v>
      </c>
      <c r="Q43" s="6"/>
      <c r="R43" s="6"/>
      <c r="S43" s="6"/>
      <c r="T43" s="6">
        <f t="shared" si="15"/>
        <v>-2.9275362318840585</v>
      </c>
      <c r="U43" s="6"/>
      <c r="V43" s="6"/>
      <c r="W43" s="6"/>
      <c r="X43" s="3">
        <f t="shared" si="16"/>
        <v>1.5789473684210527</v>
      </c>
      <c r="Y43" s="3">
        <f t="shared" si="17"/>
        <v>32.49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</row>
    <row r="44" spans="1:221" s="3" customFormat="1">
      <c r="A44" s="31">
        <v>40</v>
      </c>
      <c r="B44" s="58" t="s">
        <v>291</v>
      </c>
      <c r="C44" s="58"/>
      <c r="D44" s="58"/>
      <c r="E44" s="58"/>
      <c r="F44" s="58"/>
      <c r="G44" s="58"/>
      <c r="H44" s="58"/>
      <c r="I44" s="58"/>
      <c r="J44" s="58"/>
      <c r="K44" s="56"/>
      <c r="L44" s="31">
        <v>23</v>
      </c>
      <c r="M44" s="45">
        <f t="shared" si="14"/>
        <v>7.9674337148168357</v>
      </c>
      <c r="N44" s="58"/>
      <c r="O44"/>
      <c r="P44" s="7">
        <f t="shared" si="13"/>
        <v>21.927536231884059</v>
      </c>
      <c r="Q44" s="6"/>
      <c r="R44" s="6"/>
      <c r="S44" s="6"/>
      <c r="T44" s="6">
        <f t="shared" si="15"/>
        <v>1.0724637681159415</v>
      </c>
      <c r="U44" s="6"/>
      <c r="V44" s="6"/>
      <c r="W44" s="6"/>
      <c r="X44" s="3">
        <f t="shared" si="16"/>
        <v>1.3043478260869565</v>
      </c>
      <c r="Y44" s="3">
        <f t="shared" si="17"/>
        <v>47.609999999999992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</row>
    <row r="45" spans="1:221" s="3" customFormat="1" ht="15" customHeight="1">
      <c r="A45" s="31">
        <v>41</v>
      </c>
      <c r="B45" s="58" t="s">
        <v>292</v>
      </c>
      <c r="C45" s="58"/>
      <c r="D45" s="58"/>
      <c r="E45" s="58"/>
      <c r="F45" s="58"/>
      <c r="G45" s="58"/>
      <c r="H45" s="58"/>
      <c r="I45" s="58"/>
      <c r="J45" s="58"/>
      <c r="K45" s="54">
        <v>46094</v>
      </c>
      <c r="L45" s="31">
        <v>24</v>
      </c>
      <c r="M45" s="45">
        <f t="shared" si="14"/>
        <v>8.3138438763306119</v>
      </c>
      <c r="N45" s="58"/>
      <c r="O45"/>
      <c r="P45" s="7">
        <f t="shared" si="13"/>
        <v>21.927536231884059</v>
      </c>
      <c r="Q45" s="6"/>
      <c r="R45" s="6"/>
      <c r="S45" s="6"/>
      <c r="T45" s="6">
        <f t="shared" si="15"/>
        <v>2.0724637681159415</v>
      </c>
      <c r="U45" s="6"/>
      <c r="V45" s="6"/>
      <c r="W45" s="6"/>
      <c r="X45" s="3">
        <f t="shared" si="16"/>
        <v>1.25</v>
      </c>
      <c r="Y45" s="3">
        <f t="shared" si="17"/>
        <v>51.839999999999989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</row>
    <row r="46" spans="1:221" s="3" customFormat="1">
      <c r="A46" s="31">
        <v>42</v>
      </c>
      <c r="B46" s="58" t="s">
        <v>293</v>
      </c>
      <c r="C46" s="58"/>
      <c r="D46" s="58"/>
      <c r="E46" s="58"/>
      <c r="F46" s="58"/>
      <c r="G46" s="58"/>
      <c r="H46" s="58"/>
      <c r="I46" s="58"/>
      <c r="J46" s="58"/>
      <c r="K46" s="54"/>
      <c r="L46" s="31">
        <v>18</v>
      </c>
      <c r="M46" s="45">
        <f t="shared" si="14"/>
        <v>6.2353829072479581</v>
      </c>
      <c r="N46" s="58"/>
      <c r="O46"/>
      <c r="P46" s="7">
        <f t="shared" si="13"/>
        <v>21.927536231884059</v>
      </c>
      <c r="Q46" s="6"/>
      <c r="R46" s="6"/>
      <c r="S46" s="6"/>
      <c r="T46" s="6">
        <f t="shared" si="15"/>
        <v>-3.9275362318840585</v>
      </c>
      <c r="U46" s="6"/>
      <c r="V46" s="6"/>
      <c r="W46" s="6"/>
      <c r="X46" s="3">
        <f t="shared" si="16"/>
        <v>1.6666666666666667</v>
      </c>
      <c r="Y46" s="3">
        <f t="shared" si="17"/>
        <v>29.159999999999993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</row>
    <row r="47" spans="1:221" s="3" customFormat="1">
      <c r="A47" s="31">
        <v>43</v>
      </c>
      <c r="B47" s="58" t="s">
        <v>294</v>
      </c>
      <c r="C47" s="58"/>
      <c r="D47" s="58"/>
      <c r="E47" s="58"/>
      <c r="F47" s="58"/>
      <c r="G47" s="58"/>
      <c r="H47" s="58"/>
      <c r="I47" s="58"/>
      <c r="J47" s="58"/>
      <c r="K47" s="54"/>
      <c r="L47" s="31">
        <v>23</v>
      </c>
      <c r="M47" s="45">
        <f t="shared" si="4"/>
        <v>7.9674337148168357</v>
      </c>
      <c r="N47" s="58"/>
      <c r="O47"/>
      <c r="P47" s="7">
        <f t="shared" si="13"/>
        <v>21.927536231884059</v>
      </c>
      <c r="Q47" s="6"/>
      <c r="R47" s="6"/>
      <c r="S47" s="6"/>
      <c r="T47" s="6">
        <f t="shared" si="1"/>
        <v>1.0724637681159415</v>
      </c>
      <c r="U47" s="6"/>
      <c r="V47" s="6"/>
      <c r="W47" s="6"/>
      <c r="X47" s="3">
        <f t="shared" si="2"/>
        <v>1.3043478260869565</v>
      </c>
      <c r="Y47" s="3">
        <f t="shared" si="3"/>
        <v>47.609999999999992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</row>
    <row r="48" spans="1:221" s="3" customFormat="1">
      <c r="A48" s="31">
        <v>44</v>
      </c>
      <c r="B48" s="58" t="s">
        <v>295</v>
      </c>
      <c r="C48" s="58"/>
      <c r="D48" s="58"/>
      <c r="E48" s="58"/>
      <c r="F48" s="58"/>
      <c r="G48" s="58"/>
      <c r="H48" s="58"/>
      <c r="I48" s="58"/>
      <c r="J48" s="58"/>
      <c r="K48" s="54"/>
      <c r="L48" s="31">
        <v>21</v>
      </c>
      <c r="M48" s="45">
        <f t="shared" ref="M48" si="18">SQRT(((L48*0.3/L48)^2)/3)*2*L48</f>
        <v>7.274613391789285</v>
      </c>
      <c r="N48" s="58"/>
      <c r="O48"/>
      <c r="P48" s="7">
        <f t="shared" si="13"/>
        <v>21.927536231884059</v>
      </c>
      <c r="Q48" s="6"/>
      <c r="R48" s="6"/>
      <c r="S48" s="6"/>
      <c r="T48" s="6">
        <f t="shared" ref="T48" si="19">L48-P48</f>
        <v>-0.92753623188405854</v>
      </c>
      <c r="U48" s="6"/>
      <c r="V48" s="6"/>
      <c r="W48" s="6"/>
      <c r="X48" s="3">
        <f t="shared" ref="X48" si="20">30/L48</f>
        <v>1.4285714285714286</v>
      </c>
      <c r="Y48" s="3">
        <f t="shared" ref="Y48" si="21">(0.3*L48)^2</f>
        <v>39.69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</row>
    <row r="49" spans="1:221" s="3" customFormat="1">
      <c r="A49" s="31">
        <v>45</v>
      </c>
      <c r="B49" s="58" t="s">
        <v>296</v>
      </c>
      <c r="C49" s="58"/>
      <c r="D49" s="58"/>
      <c r="E49" s="58"/>
      <c r="F49" s="58"/>
      <c r="G49" s="58"/>
      <c r="H49" s="58"/>
      <c r="I49" s="58"/>
      <c r="J49" s="58"/>
      <c r="K49" s="54"/>
      <c r="L49" s="31">
        <v>22</v>
      </c>
      <c r="M49" s="45">
        <f t="shared" si="4"/>
        <v>7.6210235533030604</v>
      </c>
      <c r="N49" s="58"/>
      <c r="O49"/>
      <c r="P49" s="7">
        <f t="shared" si="13"/>
        <v>21.927536231884059</v>
      </c>
      <c r="Q49" s="6"/>
      <c r="R49" s="6"/>
      <c r="S49" s="6"/>
      <c r="T49" s="6">
        <f t="shared" si="1"/>
        <v>7.2463768115941463E-2</v>
      </c>
      <c r="U49" s="6"/>
      <c r="V49" s="6"/>
      <c r="W49" s="6"/>
      <c r="X49" s="3">
        <f t="shared" si="2"/>
        <v>1.3636363636363635</v>
      </c>
      <c r="Y49" s="3">
        <f t="shared" si="3"/>
        <v>43.559999999999995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</row>
    <row r="50" spans="1:221" s="3" customFormat="1">
      <c r="A50" s="31">
        <v>46</v>
      </c>
      <c r="B50" s="58" t="s">
        <v>297</v>
      </c>
      <c r="C50" s="58"/>
      <c r="D50" s="58"/>
      <c r="E50" s="58"/>
      <c r="F50" s="58"/>
      <c r="G50" s="58"/>
      <c r="H50" s="58"/>
      <c r="I50" s="58"/>
      <c r="J50" s="58"/>
      <c r="K50" s="54"/>
      <c r="L50" s="31">
        <v>26</v>
      </c>
      <c r="M50" s="45">
        <f t="shared" si="4"/>
        <v>9.0066641993581626</v>
      </c>
      <c r="N50" s="58"/>
      <c r="O50"/>
      <c r="P50" s="7">
        <f t="shared" si="13"/>
        <v>21.927536231884059</v>
      </c>
      <c r="Q50" s="6"/>
      <c r="R50" s="6"/>
      <c r="S50" s="6"/>
      <c r="T50" s="6">
        <f t="shared" si="1"/>
        <v>4.0724637681159415</v>
      </c>
      <c r="U50" s="6"/>
      <c r="V50" s="6"/>
      <c r="W50" s="6"/>
      <c r="X50" s="3">
        <f t="shared" si="2"/>
        <v>1.1538461538461537</v>
      </c>
      <c r="Y50" s="3">
        <f t="shared" si="3"/>
        <v>60.839999999999996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</row>
    <row r="51" spans="1:221" s="3" customFormat="1">
      <c r="A51" s="31">
        <v>47</v>
      </c>
      <c r="B51" s="58" t="s">
        <v>298</v>
      </c>
      <c r="C51" s="58"/>
      <c r="D51" s="58"/>
      <c r="E51" s="58"/>
      <c r="F51" s="58"/>
      <c r="G51" s="58"/>
      <c r="H51" s="58"/>
      <c r="I51" s="58"/>
      <c r="J51" s="58"/>
      <c r="K51" s="54"/>
      <c r="L51" s="31">
        <v>22</v>
      </c>
      <c r="M51" s="45">
        <f t="shared" si="4"/>
        <v>7.6210235533030604</v>
      </c>
      <c r="N51" s="58"/>
      <c r="O51"/>
      <c r="P51" s="7">
        <f t="shared" si="13"/>
        <v>21.927536231884059</v>
      </c>
      <c r="Q51" s="6"/>
      <c r="R51" s="6"/>
      <c r="S51" s="6"/>
      <c r="T51" s="6">
        <f t="shared" si="1"/>
        <v>7.2463768115941463E-2</v>
      </c>
      <c r="U51" s="6"/>
      <c r="V51" s="6"/>
      <c r="W51" s="6"/>
      <c r="X51" s="3">
        <f t="shared" si="2"/>
        <v>1.3636363636363635</v>
      </c>
      <c r="Y51" s="3">
        <f t="shared" si="3"/>
        <v>43.559999999999995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</row>
    <row r="52" spans="1:221" s="3" customFormat="1">
      <c r="A52" s="31">
        <v>48</v>
      </c>
      <c r="B52" s="58" t="s">
        <v>299</v>
      </c>
      <c r="C52" s="58"/>
      <c r="D52" s="58"/>
      <c r="E52" s="58"/>
      <c r="F52" s="58"/>
      <c r="G52" s="58"/>
      <c r="H52" s="58"/>
      <c r="I52" s="58"/>
      <c r="J52" s="58"/>
      <c r="K52" s="54"/>
      <c r="L52" s="31">
        <v>26</v>
      </c>
      <c r="M52" s="45">
        <f t="shared" si="4"/>
        <v>9.0066641993581626</v>
      </c>
      <c r="N52" s="58"/>
      <c r="O52"/>
      <c r="P52" s="7">
        <f t="shared" si="13"/>
        <v>21.927536231884059</v>
      </c>
      <c r="Q52" s="6"/>
      <c r="R52" s="6"/>
      <c r="S52" s="6"/>
      <c r="T52" s="6">
        <f t="shared" si="1"/>
        <v>4.0724637681159415</v>
      </c>
      <c r="U52" s="6"/>
      <c r="V52" s="6"/>
      <c r="W52" s="6"/>
      <c r="X52" s="3">
        <f t="shared" si="2"/>
        <v>1.1538461538461537</v>
      </c>
      <c r="Y52" s="3">
        <f t="shared" si="3"/>
        <v>60.839999999999996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</row>
    <row r="53" spans="1:221" s="3" customFormat="1">
      <c r="A53" s="31">
        <v>49</v>
      </c>
      <c r="B53" s="58" t="s">
        <v>300</v>
      </c>
      <c r="C53" s="58"/>
      <c r="D53" s="58"/>
      <c r="E53" s="58"/>
      <c r="F53" s="58"/>
      <c r="G53" s="58"/>
      <c r="H53" s="58"/>
      <c r="I53" s="58"/>
      <c r="J53" s="58"/>
      <c r="K53" s="54"/>
      <c r="L53" s="31">
        <v>21</v>
      </c>
      <c r="M53" s="45">
        <f t="shared" si="4"/>
        <v>7.274613391789285</v>
      </c>
      <c r="N53" s="58"/>
      <c r="O53"/>
      <c r="P53" s="7">
        <f t="shared" si="13"/>
        <v>21.927536231884059</v>
      </c>
      <c r="Q53" s="6"/>
      <c r="R53" s="6"/>
      <c r="S53" s="6"/>
      <c r="T53" s="6">
        <f t="shared" si="1"/>
        <v>-0.92753623188405854</v>
      </c>
      <c r="U53" s="6"/>
      <c r="V53" s="6"/>
      <c r="W53" s="6"/>
      <c r="X53" s="3">
        <f t="shared" si="2"/>
        <v>1.4285714285714286</v>
      </c>
      <c r="Y53" s="3">
        <f t="shared" si="3"/>
        <v>39.69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</row>
    <row r="54" spans="1:221" s="3" customFormat="1">
      <c r="A54" s="31">
        <v>50</v>
      </c>
      <c r="B54" s="58" t="s">
        <v>301</v>
      </c>
      <c r="C54" s="58"/>
      <c r="D54" s="58"/>
      <c r="E54" s="58"/>
      <c r="F54" s="58"/>
      <c r="G54" s="58"/>
      <c r="H54" s="58"/>
      <c r="I54" s="58"/>
      <c r="J54" s="58"/>
      <c r="K54" s="54"/>
      <c r="L54" s="31">
        <v>24</v>
      </c>
      <c r="M54" s="45">
        <f t="shared" si="4"/>
        <v>8.3138438763306119</v>
      </c>
      <c r="N54" s="58"/>
      <c r="O54"/>
      <c r="P54" s="7">
        <f t="shared" si="13"/>
        <v>21.927536231884059</v>
      </c>
      <c r="Q54" s="6"/>
      <c r="R54" s="6"/>
      <c r="S54" s="6"/>
      <c r="T54" s="6">
        <f t="shared" si="1"/>
        <v>2.0724637681159415</v>
      </c>
      <c r="U54" s="6"/>
      <c r="V54" s="6"/>
      <c r="W54" s="6"/>
      <c r="X54" s="3">
        <f t="shared" si="2"/>
        <v>1.25</v>
      </c>
      <c r="Y54" s="3">
        <f t="shared" si="3"/>
        <v>51.839999999999989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</row>
    <row r="55" spans="1:221" s="3" customFormat="1">
      <c r="A55" s="31">
        <v>51</v>
      </c>
      <c r="B55" s="58" t="s">
        <v>302</v>
      </c>
      <c r="C55" s="58"/>
      <c r="D55" s="58"/>
      <c r="E55" s="58"/>
      <c r="F55" s="58"/>
      <c r="G55" s="58"/>
      <c r="H55" s="58"/>
      <c r="I55" s="58"/>
      <c r="J55" s="58"/>
      <c r="K55" s="54"/>
      <c r="L55" s="31">
        <v>21</v>
      </c>
      <c r="M55" s="45">
        <f t="shared" si="4"/>
        <v>7.274613391789285</v>
      </c>
      <c r="N55" s="58"/>
      <c r="O55"/>
      <c r="P55" s="7">
        <f t="shared" si="13"/>
        <v>21.927536231884059</v>
      </c>
      <c r="Q55" s="6"/>
      <c r="R55" s="6"/>
      <c r="S55" s="6"/>
      <c r="T55" s="6">
        <f t="shared" si="1"/>
        <v>-0.92753623188405854</v>
      </c>
      <c r="U55" s="6"/>
      <c r="V55" s="6"/>
      <c r="W55" s="6"/>
      <c r="X55" s="3">
        <f t="shared" si="2"/>
        <v>1.4285714285714286</v>
      </c>
      <c r="Y55" s="3">
        <f t="shared" si="3"/>
        <v>39.69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</row>
    <row r="56" spans="1:221" s="3" customFormat="1">
      <c r="A56" s="31">
        <v>52</v>
      </c>
      <c r="B56" s="58" t="s">
        <v>303</v>
      </c>
      <c r="C56" s="58"/>
      <c r="D56" s="58"/>
      <c r="E56" s="58"/>
      <c r="F56" s="58"/>
      <c r="G56" s="58"/>
      <c r="H56" s="58"/>
      <c r="I56" s="58"/>
      <c r="J56" s="58"/>
      <c r="K56" s="54"/>
      <c r="L56" s="31">
        <v>21</v>
      </c>
      <c r="M56" s="45">
        <f t="shared" ref="M56:M59" si="22">SQRT(((L56*0.3/L56)^2)/3)*2*L56</f>
        <v>7.274613391789285</v>
      </c>
      <c r="N56" s="58"/>
      <c r="O56"/>
      <c r="P56" s="7">
        <f t="shared" si="13"/>
        <v>21.927536231884059</v>
      </c>
      <c r="Q56" s="6"/>
      <c r="R56" s="6"/>
      <c r="S56" s="6"/>
      <c r="T56" s="6">
        <f t="shared" ref="T56:T59" si="23">L56-P56</f>
        <v>-0.92753623188405854</v>
      </c>
      <c r="U56" s="6"/>
      <c r="V56" s="6"/>
      <c r="W56" s="6"/>
      <c r="X56" s="3">
        <f t="shared" ref="X56:X59" si="24">30/L56</f>
        <v>1.4285714285714286</v>
      </c>
      <c r="Y56" s="3">
        <f t="shared" ref="Y56:Y59" si="25">(0.3*L56)^2</f>
        <v>39.69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</row>
    <row r="57" spans="1:221" s="3" customFormat="1">
      <c r="A57" s="31">
        <v>53</v>
      </c>
      <c r="B57" s="58" t="s">
        <v>304</v>
      </c>
      <c r="C57" s="58"/>
      <c r="D57" s="58"/>
      <c r="E57" s="58"/>
      <c r="F57" s="58"/>
      <c r="G57" s="58"/>
      <c r="H57" s="58"/>
      <c r="I57" s="58"/>
      <c r="J57" s="58"/>
      <c r="K57" s="54"/>
      <c r="L57" s="31">
        <v>22</v>
      </c>
      <c r="M57" s="45">
        <f t="shared" si="22"/>
        <v>7.6210235533030604</v>
      </c>
      <c r="N57" s="58"/>
      <c r="O57"/>
      <c r="P57" s="7">
        <f t="shared" si="13"/>
        <v>21.927536231884059</v>
      </c>
      <c r="Q57" s="6"/>
      <c r="R57" s="6"/>
      <c r="S57" s="6"/>
      <c r="T57" s="6">
        <f t="shared" si="23"/>
        <v>7.2463768115941463E-2</v>
      </c>
      <c r="U57" s="6"/>
      <c r="V57" s="6"/>
      <c r="W57" s="6"/>
      <c r="X57" s="3">
        <f t="shared" si="24"/>
        <v>1.3636363636363635</v>
      </c>
      <c r="Y57" s="3">
        <f t="shared" si="25"/>
        <v>43.559999999999995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</row>
    <row r="58" spans="1:221" s="3" customFormat="1">
      <c r="A58" s="31">
        <v>54</v>
      </c>
      <c r="B58" s="58" t="s">
        <v>305</v>
      </c>
      <c r="C58" s="58"/>
      <c r="D58" s="58"/>
      <c r="E58" s="58"/>
      <c r="F58" s="58"/>
      <c r="G58" s="58"/>
      <c r="H58" s="58"/>
      <c r="I58" s="58"/>
      <c r="J58" s="58"/>
      <c r="K58" s="54"/>
      <c r="L58" s="31">
        <v>19</v>
      </c>
      <c r="M58" s="45">
        <f t="shared" si="22"/>
        <v>6.5817930687617334</v>
      </c>
      <c r="N58" s="58"/>
      <c r="O58"/>
      <c r="P58" s="7">
        <f t="shared" si="13"/>
        <v>21.927536231884059</v>
      </c>
      <c r="Q58" s="6"/>
      <c r="R58" s="6"/>
      <c r="S58" s="6"/>
      <c r="T58" s="6">
        <f t="shared" si="23"/>
        <v>-2.9275362318840585</v>
      </c>
      <c r="U58" s="6"/>
      <c r="V58" s="6"/>
      <c r="W58" s="6"/>
      <c r="X58" s="3">
        <f t="shared" si="24"/>
        <v>1.5789473684210527</v>
      </c>
      <c r="Y58" s="3">
        <f t="shared" si="25"/>
        <v>32.49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</row>
    <row r="59" spans="1:221" s="3" customFormat="1">
      <c r="A59" s="31">
        <v>55</v>
      </c>
      <c r="B59" s="58" t="s">
        <v>306</v>
      </c>
      <c r="C59" s="58"/>
      <c r="D59" s="58"/>
      <c r="E59" s="58"/>
      <c r="F59" s="58"/>
      <c r="G59" s="58"/>
      <c r="H59" s="58"/>
      <c r="I59" s="58"/>
      <c r="J59" s="58"/>
      <c r="K59" s="54"/>
      <c r="L59" s="31">
        <v>19</v>
      </c>
      <c r="M59" s="45">
        <f t="shared" si="22"/>
        <v>6.5817930687617334</v>
      </c>
      <c r="N59" s="58"/>
      <c r="O59"/>
      <c r="P59" s="7">
        <f t="shared" si="13"/>
        <v>21.927536231884059</v>
      </c>
      <c r="Q59" s="6"/>
      <c r="R59" s="6"/>
      <c r="S59" s="6"/>
      <c r="T59" s="6">
        <f t="shared" si="23"/>
        <v>-2.9275362318840585</v>
      </c>
      <c r="U59" s="6"/>
      <c r="V59" s="6"/>
      <c r="W59" s="6"/>
      <c r="X59" s="3">
        <f t="shared" si="24"/>
        <v>1.5789473684210527</v>
      </c>
      <c r="Y59" s="3">
        <f t="shared" si="25"/>
        <v>32.49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</row>
    <row r="60" spans="1:221" s="3" customFormat="1">
      <c r="A60" s="31">
        <v>56</v>
      </c>
      <c r="B60" s="58" t="s">
        <v>307</v>
      </c>
      <c r="C60" s="58"/>
      <c r="D60" s="58"/>
      <c r="E60" s="58"/>
      <c r="F60" s="58"/>
      <c r="G60" s="58"/>
      <c r="H60" s="58"/>
      <c r="I60" s="58"/>
      <c r="J60" s="58"/>
      <c r="K60" s="54"/>
      <c r="L60" s="31">
        <v>21</v>
      </c>
      <c r="M60" s="45">
        <f t="shared" si="4"/>
        <v>7.274613391789285</v>
      </c>
      <c r="N60" s="58"/>
      <c r="O60"/>
      <c r="P60" s="7">
        <f t="shared" si="13"/>
        <v>21.927536231884059</v>
      </c>
      <c r="Q60" s="6"/>
      <c r="R60" s="6"/>
      <c r="S60" s="6"/>
      <c r="T60" s="6">
        <f t="shared" si="1"/>
        <v>-0.92753623188405854</v>
      </c>
      <c r="U60" s="6"/>
      <c r="V60" s="6"/>
      <c r="W60" s="6"/>
      <c r="X60" s="3">
        <f t="shared" si="2"/>
        <v>1.4285714285714286</v>
      </c>
      <c r="Y60" s="3">
        <f t="shared" si="3"/>
        <v>39.69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</row>
    <row r="61" spans="1:221" s="3" customFormat="1">
      <c r="A61" s="31">
        <v>57</v>
      </c>
      <c r="B61" s="58" t="s">
        <v>308</v>
      </c>
      <c r="C61" s="58"/>
      <c r="D61" s="58"/>
      <c r="E61" s="58"/>
      <c r="F61" s="58"/>
      <c r="G61" s="58"/>
      <c r="H61" s="58"/>
      <c r="I61" s="58"/>
      <c r="J61" s="58"/>
      <c r="K61" s="54"/>
      <c r="L61" s="31">
        <v>23</v>
      </c>
      <c r="M61" s="45">
        <f t="shared" si="4"/>
        <v>7.9674337148168357</v>
      </c>
      <c r="N61" s="58"/>
      <c r="O61"/>
      <c r="P61" s="7">
        <f t="shared" si="13"/>
        <v>21.927536231884059</v>
      </c>
      <c r="Q61" s="6"/>
      <c r="R61" s="6"/>
      <c r="S61" s="6"/>
      <c r="T61" s="6">
        <f t="shared" si="1"/>
        <v>1.0724637681159415</v>
      </c>
      <c r="U61" s="6"/>
      <c r="V61" s="6"/>
      <c r="W61" s="6"/>
      <c r="X61" s="3">
        <f t="shared" si="2"/>
        <v>1.3043478260869565</v>
      </c>
      <c r="Y61" s="3">
        <f t="shared" si="3"/>
        <v>47.609999999999992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</row>
    <row r="62" spans="1:221" s="3" customFormat="1">
      <c r="A62" s="31">
        <v>58</v>
      </c>
      <c r="B62" s="58" t="s">
        <v>309</v>
      </c>
      <c r="C62" s="58"/>
      <c r="D62" s="58"/>
      <c r="E62" s="58"/>
      <c r="F62" s="58"/>
      <c r="G62" s="58"/>
      <c r="H62" s="58"/>
      <c r="I62" s="58"/>
      <c r="J62" s="58"/>
      <c r="K62" s="54"/>
      <c r="L62" s="31">
        <v>22</v>
      </c>
      <c r="M62" s="45">
        <f t="shared" si="4"/>
        <v>7.6210235533030604</v>
      </c>
      <c r="N62" s="58"/>
      <c r="O62"/>
      <c r="P62" s="7">
        <f t="shared" si="13"/>
        <v>21.927536231884059</v>
      </c>
      <c r="Q62" s="6"/>
      <c r="R62" s="6"/>
      <c r="S62" s="6"/>
      <c r="T62" s="6">
        <f t="shared" si="1"/>
        <v>7.2463768115941463E-2</v>
      </c>
      <c r="U62" s="6"/>
      <c r="V62" s="6"/>
      <c r="W62" s="6"/>
      <c r="X62" s="3">
        <f t="shared" si="2"/>
        <v>1.3636363636363635</v>
      </c>
      <c r="Y62" s="3">
        <f t="shared" si="3"/>
        <v>43.559999999999995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</row>
    <row r="63" spans="1:221" s="3" customFormat="1">
      <c r="A63" s="31">
        <v>59</v>
      </c>
      <c r="B63" s="58" t="s">
        <v>310</v>
      </c>
      <c r="C63" s="58"/>
      <c r="D63" s="58"/>
      <c r="E63" s="58"/>
      <c r="F63" s="58"/>
      <c r="G63" s="58"/>
      <c r="H63" s="58"/>
      <c r="I63" s="58"/>
      <c r="J63" s="58"/>
      <c r="K63" s="54"/>
      <c r="L63" s="31">
        <v>22</v>
      </c>
      <c r="M63" s="45">
        <f t="shared" si="4"/>
        <v>7.6210235533030604</v>
      </c>
      <c r="N63" s="58"/>
      <c r="O63"/>
      <c r="P63" s="7">
        <f t="shared" si="13"/>
        <v>21.927536231884059</v>
      </c>
      <c r="Q63" s="6"/>
      <c r="R63" s="6"/>
      <c r="S63" s="6"/>
      <c r="T63" s="6">
        <f t="shared" si="1"/>
        <v>7.2463768115941463E-2</v>
      </c>
      <c r="U63" s="6"/>
      <c r="V63" s="6"/>
      <c r="W63" s="6"/>
      <c r="X63" s="3">
        <f t="shared" si="2"/>
        <v>1.3636363636363635</v>
      </c>
      <c r="Y63" s="3">
        <f t="shared" si="3"/>
        <v>43.559999999999995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</row>
    <row r="64" spans="1:221" s="3" customFormat="1">
      <c r="A64" s="31">
        <v>60</v>
      </c>
      <c r="B64" s="58" t="s">
        <v>311</v>
      </c>
      <c r="C64" s="58"/>
      <c r="D64" s="58"/>
      <c r="E64" s="58"/>
      <c r="F64" s="58"/>
      <c r="G64" s="58"/>
      <c r="H64" s="58"/>
      <c r="I64" s="58"/>
      <c r="J64" s="58"/>
      <c r="K64" s="52">
        <v>46094</v>
      </c>
      <c r="L64" s="31">
        <v>20</v>
      </c>
      <c r="M64" s="45">
        <f t="shared" si="4"/>
        <v>6.9282032302755088</v>
      </c>
      <c r="N64" s="58">
        <v>80</v>
      </c>
      <c r="O64"/>
      <c r="P64" s="7">
        <f t="shared" si="13"/>
        <v>21.927536231884059</v>
      </c>
      <c r="Q64" s="6"/>
      <c r="R64" s="6"/>
      <c r="S64" s="6"/>
      <c r="T64" s="6">
        <f t="shared" si="1"/>
        <v>-1.9275362318840585</v>
      </c>
      <c r="U64" s="6"/>
      <c r="V64" s="6"/>
      <c r="W64" s="6"/>
      <c r="X64" s="3">
        <f t="shared" si="2"/>
        <v>1.5</v>
      </c>
      <c r="Y64" s="3">
        <f t="shared" si="3"/>
        <v>36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</row>
    <row r="65" spans="1:222" s="3" customFormat="1">
      <c r="A65" s="31">
        <v>61</v>
      </c>
      <c r="B65" s="58" t="s">
        <v>312</v>
      </c>
      <c r="C65" s="58"/>
      <c r="D65" s="58"/>
      <c r="E65" s="58"/>
      <c r="F65" s="58"/>
      <c r="G65" s="58"/>
      <c r="H65" s="58"/>
      <c r="I65" s="58"/>
      <c r="J65" s="58"/>
      <c r="K65" s="55">
        <v>46099</v>
      </c>
      <c r="L65" s="31">
        <v>21</v>
      </c>
      <c r="M65" s="45">
        <f t="shared" si="4"/>
        <v>7.274613391789285</v>
      </c>
      <c r="N65" s="58"/>
      <c r="O65"/>
      <c r="P65" s="7">
        <f t="shared" si="13"/>
        <v>21.927536231884059</v>
      </c>
      <c r="Q65" s="6"/>
      <c r="R65" s="6"/>
      <c r="S65" s="6"/>
      <c r="T65" s="6">
        <f t="shared" si="1"/>
        <v>-0.92753623188405854</v>
      </c>
      <c r="U65" s="6"/>
      <c r="V65" s="6"/>
      <c r="W65" s="6"/>
      <c r="X65" s="3">
        <f t="shared" si="2"/>
        <v>1.4285714285714286</v>
      </c>
      <c r="Y65" s="3">
        <f t="shared" si="3"/>
        <v>39.69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</row>
    <row r="66" spans="1:222" s="3" customFormat="1">
      <c r="A66" s="31">
        <v>62</v>
      </c>
      <c r="B66" s="58" t="s">
        <v>313</v>
      </c>
      <c r="C66" s="58"/>
      <c r="D66" s="58"/>
      <c r="E66" s="58"/>
      <c r="F66" s="58"/>
      <c r="G66" s="58"/>
      <c r="H66" s="58"/>
      <c r="I66" s="58"/>
      <c r="J66" s="58"/>
      <c r="K66" s="56"/>
      <c r="L66" s="31">
        <v>24</v>
      </c>
      <c r="M66" s="45">
        <f t="shared" ref="M66" si="26">SQRT(((L66*0.3/L66)^2)/3)*2*L66</f>
        <v>8.3138438763306119</v>
      </c>
      <c r="N66" s="58"/>
      <c r="O66"/>
      <c r="P66" s="7">
        <f t="shared" si="13"/>
        <v>21.927536231884059</v>
      </c>
      <c r="Q66" s="6"/>
      <c r="R66" s="6"/>
      <c r="S66" s="6"/>
      <c r="T66" s="6">
        <f t="shared" ref="T66" si="27">L66-P66</f>
        <v>2.0724637681159415</v>
      </c>
      <c r="U66" s="6"/>
      <c r="V66" s="6"/>
      <c r="W66" s="6"/>
      <c r="X66" s="3">
        <f t="shared" ref="X66" si="28">30/L66</f>
        <v>1.25</v>
      </c>
      <c r="Y66" s="3">
        <f t="shared" ref="Y66" si="29">(0.3*L66)^2</f>
        <v>51.839999999999989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</row>
    <row r="67" spans="1:222" s="3" customFormat="1">
      <c r="A67" s="31">
        <v>63</v>
      </c>
      <c r="B67" s="58" t="s">
        <v>314</v>
      </c>
      <c r="C67" s="58"/>
      <c r="D67" s="58"/>
      <c r="E67" s="58"/>
      <c r="F67" s="58"/>
      <c r="G67" s="58"/>
      <c r="H67" s="58"/>
      <c r="I67" s="58"/>
      <c r="J67" s="58"/>
      <c r="K67" s="56"/>
      <c r="L67" s="31">
        <v>22</v>
      </c>
      <c r="M67" s="45">
        <f t="shared" si="4"/>
        <v>7.6210235533030604</v>
      </c>
      <c r="N67" s="58"/>
      <c r="O67"/>
      <c r="P67" s="7">
        <f t="shared" si="13"/>
        <v>21.927536231884059</v>
      </c>
      <c r="Q67" s="6"/>
      <c r="R67" s="6"/>
      <c r="S67" s="6"/>
      <c r="T67" s="6">
        <f t="shared" si="1"/>
        <v>7.2463768115941463E-2</v>
      </c>
      <c r="U67" s="6"/>
      <c r="V67" s="6"/>
      <c r="W67" s="6"/>
      <c r="X67" s="3">
        <f t="shared" si="2"/>
        <v>1.3636363636363635</v>
      </c>
      <c r="Y67" s="3">
        <f t="shared" si="3"/>
        <v>43.559999999999995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</row>
    <row r="68" spans="1:222" s="3" customFormat="1">
      <c r="A68" s="31">
        <v>64</v>
      </c>
      <c r="B68" s="58" t="s">
        <v>315</v>
      </c>
      <c r="C68" s="58"/>
      <c r="D68" s="58"/>
      <c r="E68" s="58"/>
      <c r="F68" s="58"/>
      <c r="G68" s="58"/>
      <c r="H68" s="58"/>
      <c r="I68" s="58"/>
      <c r="J68" s="58"/>
      <c r="K68" s="56"/>
      <c r="L68" s="31">
        <v>22</v>
      </c>
      <c r="M68" s="45">
        <f t="shared" ref="M68" si="30">SQRT(((L68*0.3/L68)^2)/3)*2*L68</f>
        <v>7.6210235533030604</v>
      </c>
      <c r="N68" s="58"/>
      <c r="O68"/>
      <c r="P68" s="7">
        <f t="shared" si="13"/>
        <v>21.927536231884059</v>
      </c>
      <c r="Q68" s="6"/>
      <c r="R68" s="6"/>
      <c r="S68" s="6"/>
      <c r="T68" s="6">
        <f t="shared" ref="T68" si="31">L68-P68</f>
        <v>7.2463768115941463E-2</v>
      </c>
      <c r="U68" s="6"/>
      <c r="V68" s="6"/>
      <c r="W68" s="6"/>
      <c r="X68" s="3">
        <f t="shared" ref="X68" si="32">30/L68</f>
        <v>1.3636363636363635</v>
      </c>
      <c r="Y68" s="3">
        <f t="shared" ref="Y68" si="33">(0.3*L68)^2</f>
        <v>43.559999999999995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</row>
    <row r="69" spans="1:222" s="3" customFormat="1">
      <c r="A69" s="31">
        <v>65</v>
      </c>
      <c r="B69" s="58" t="s">
        <v>316</v>
      </c>
      <c r="C69" s="58"/>
      <c r="D69" s="58"/>
      <c r="E69" s="58"/>
      <c r="F69" s="58"/>
      <c r="G69" s="58"/>
      <c r="H69" s="58"/>
      <c r="I69" s="58"/>
      <c r="J69" s="58"/>
      <c r="K69" s="56"/>
      <c r="L69" s="31">
        <v>20</v>
      </c>
      <c r="M69" s="45">
        <f t="shared" si="4"/>
        <v>6.9282032302755088</v>
      </c>
      <c r="N69" s="58"/>
      <c r="O69"/>
      <c r="P69" s="7">
        <f t="shared" si="13"/>
        <v>21.927536231884059</v>
      </c>
      <c r="Q69" s="6"/>
      <c r="R69" s="6"/>
      <c r="S69" s="6"/>
      <c r="T69" s="6">
        <f t="shared" si="1"/>
        <v>-1.9275362318840585</v>
      </c>
      <c r="U69" s="6"/>
      <c r="V69" s="6"/>
      <c r="W69" s="6"/>
      <c r="X69" s="3">
        <f t="shared" si="2"/>
        <v>1.5</v>
      </c>
      <c r="Y69" s="3">
        <f t="shared" si="3"/>
        <v>36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</row>
    <row r="70" spans="1:222" s="3" customFormat="1">
      <c r="A70" s="31">
        <v>66</v>
      </c>
      <c r="B70" s="58" t="s">
        <v>317</v>
      </c>
      <c r="C70" s="58"/>
      <c r="D70" s="58"/>
      <c r="E70" s="58"/>
      <c r="F70" s="58"/>
      <c r="G70" s="58"/>
      <c r="H70" s="58"/>
      <c r="I70" s="58"/>
      <c r="J70" s="58"/>
      <c r="K70" s="56"/>
      <c r="L70" s="31">
        <v>21</v>
      </c>
      <c r="M70" s="45">
        <f t="shared" ref="M70" si="34">SQRT(((L70*0.3/L70)^2)/3)*2*L70</f>
        <v>7.274613391789285</v>
      </c>
      <c r="N70" s="58"/>
      <c r="O70"/>
      <c r="P70" s="7">
        <f t="shared" si="13"/>
        <v>21.927536231884059</v>
      </c>
      <c r="Q70" s="6"/>
      <c r="R70" s="6"/>
      <c r="S70" s="6"/>
      <c r="T70" s="6">
        <f t="shared" ref="T70" si="35">L70-P70</f>
        <v>-0.92753623188405854</v>
      </c>
      <c r="U70" s="6"/>
      <c r="V70" s="6"/>
      <c r="W70" s="6"/>
      <c r="X70" s="3">
        <f t="shared" ref="X70" si="36">30/L70</f>
        <v>1.4285714285714286</v>
      </c>
      <c r="Y70" s="3">
        <f t="shared" ref="Y70" si="37">(0.3*L70)^2</f>
        <v>39.69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</row>
    <row r="71" spans="1:222" s="3" customFormat="1">
      <c r="A71" s="31">
        <v>67</v>
      </c>
      <c r="B71" s="58" t="s">
        <v>318</v>
      </c>
      <c r="C71" s="58"/>
      <c r="D71" s="58"/>
      <c r="E71" s="58"/>
      <c r="F71" s="58"/>
      <c r="G71" s="58"/>
      <c r="H71" s="58"/>
      <c r="I71" s="58"/>
      <c r="J71" s="58"/>
      <c r="K71" s="56"/>
      <c r="L71" s="31">
        <v>20</v>
      </c>
      <c r="M71" s="45">
        <f t="shared" si="4"/>
        <v>6.9282032302755088</v>
      </c>
      <c r="N71" s="58"/>
      <c r="O71"/>
      <c r="P71" s="7">
        <f t="shared" si="13"/>
        <v>21.927536231884059</v>
      </c>
      <c r="Q71" s="6"/>
      <c r="R71" s="6"/>
      <c r="S71" s="6"/>
      <c r="T71" s="6">
        <f t="shared" si="1"/>
        <v>-1.9275362318840585</v>
      </c>
      <c r="U71" s="6"/>
      <c r="V71" s="6"/>
      <c r="W71" s="6"/>
      <c r="X71" s="3">
        <f t="shared" si="2"/>
        <v>1.5</v>
      </c>
      <c r="Y71" s="3">
        <f t="shared" si="3"/>
        <v>36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</row>
    <row r="72" spans="1:222" s="3" customFormat="1">
      <c r="A72" s="31">
        <v>68</v>
      </c>
      <c r="B72" s="58" t="s">
        <v>319</v>
      </c>
      <c r="C72" s="58"/>
      <c r="D72" s="58"/>
      <c r="E72" s="58"/>
      <c r="F72" s="58"/>
      <c r="G72" s="58"/>
      <c r="H72" s="58"/>
      <c r="I72" s="58"/>
      <c r="J72" s="58"/>
      <c r="K72" s="56"/>
      <c r="L72" s="31">
        <v>19</v>
      </c>
      <c r="M72" s="45">
        <f t="shared" ref="M72" si="38">SQRT(((L72*0.3/L72)^2)/3)*2*L72</f>
        <v>6.5817930687617334</v>
      </c>
      <c r="N72" s="58"/>
      <c r="O72"/>
      <c r="P72" s="7">
        <f t="shared" si="13"/>
        <v>21.927536231884059</v>
      </c>
      <c r="Q72" s="6"/>
      <c r="R72" s="6"/>
      <c r="S72" s="6"/>
      <c r="T72" s="6">
        <f t="shared" ref="T72" si="39">L72-P72</f>
        <v>-2.9275362318840585</v>
      </c>
      <c r="U72" s="6"/>
      <c r="V72" s="6"/>
      <c r="W72" s="6"/>
      <c r="X72" s="3">
        <f t="shared" ref="X72" si="40">30/L72</f>
        <v>1.5789473684210527</v>
      </c>
      <c r="Y72" s="3">
        <f t="shared" ref="Y72" si="41">(0.3*L72)^2</f>
        <v>32.49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</row>
    <row r="73" spans="1:222" s="3" customFormat="1">
      <c r="A73" s="31">
        <v>69</v>
      </c>
      <c r="B73" s="58" t="s">
        <v>320</v>
      </c>
      <c r="C73" s="58"/>
      <c r="D73" s="58"/>
      <c r="E73" s="58"/>
      <c r="F73" s="58"/>
      <c r="G73" s="58"/>
      <c r="H73" s="58"/>
      <c r="I73" s="58"/>
      <c r="J73" s="58"/>
      <c r="K73" s="57"/>
      <c r="L73" s="31">
        <v>21</v>
      </c>
      <c r="M73" s="45">
        <f t="shared" si="4"/>
        <v>7.274613391789285</v>
      </c>
      <c r="N73" s="58"/>
      <c r="O73"/>
      <c r="P73" s="7">
        <f t="shared" si="13"/>
        <v>21.927536231884059</v>
      </c>
      <c r="Q73" s="6"/>
      <c r="R73" s="6"/>
      <c r="S73" s="6"/>
      <c r="T73" s="6">
        <f t="shared" si="1"/>
        <v>-0.92753623188405854</v>
      </c>
      <c r="U73" s="6"/>
      <c r="V73" s="6"/>
      <c r="W73" s="6"/>
      <c r="X73" s="3">
        <f t="shared" si="2"/>
        <v>1.4285714285714286</v>
      </c>
      <c r="Y73" s="3">
        <f t="shared" si="3"/>
        <v>39.69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</row>
    <row r="74" spans="1:222" s="29" customFormat="1" hidden="1">
      <c r="A74" s="31">
        <v>56</v>
      </c>
      <c r="B74" s="62" t="s">
        <v>111</v>
      </c>
      <c r="C74" s="63"/>
      <c r="D74" s="63"/>
      <c r="E74" s="63"/>
      <c r="F74" s="63"/>
      <c r="G74" s="63"/>
      <c r="H74" s="63"/>
      <c r="I74" s="63"/>
      <c r="J74" s="64"/>
      <c r="K74" s="41" t="s">
        <v>112</v>
      </c>
      <c r="L74" s="32">
        <f>AVERAGE(L5:L73)</f>
        <v>21.927536231884059</v>
      </c>
      <c r="M74" s="32">
        <f>(SUMXMY2(L5:L73,P5:P73)/69*68)^0.5</f>
        <v>17.496733574593236</v>
      </c>
      <c r="N74" s="47"/>
      <c r="O74"/>
      <c r="P74" s="7"/>
      <c r="Q74" s="33"/>
      <c r="R74" s="33"/>
      <c r="S74" s="33"/>
      <c r="T74" s="33"/>
      <c r="U74" s="33"/>
      <c r="V74" s="33"/>
      <c r="W74" s="33"/>
      <c r="X74" s="3">
        <f t="shared" ref="X74" si="42">30/L74</f>
        <v>1.3681427627230667</v>
      </c>
      <c r="Y74" s="3">
        <f t="shared" ref="Y74" si="43">(0.3*L74)^2</f>
        <v>43.273516068052928</v>
      </c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  <c r="HI74" s="33"/>
      <c r="HJ74" s="33"/>
      <c r="HK74" s="33"/>
      <c r="HL74" s="33"/>
      <c r="HM74" s="33"/>
    </row>
    <row r="75" spans="1:222" s="3" customFormat="1" ht="18.75" customHeight="1">
      <c r="A75" s="67" t="s">
        <v>321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/>
      <c r="Q75" s="7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</row>
    <row r="76" spans="1:222" s="3" customFormat="1" ht="44.25" customHeight="1">
      <c r="A76" s="67" t="s">
        <v>327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/>
      <c r="P76" s="7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</row>
    <row r="77" spans="1:222" s="3" customFormat="1" ht="6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/>
      <c r="P77" s="7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</row>
    <row r="78" spans="1:222" s="3" customFormat="1" ht="39.75" customHeight="1">
      <c r="A78" s="65" t="s">
        <v>339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/>
      <c r="P78" s="7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</row>
    <row r="79" spans="1:222" s="3" customFormat="1" ht="10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/>
      <c r="P79" s="7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</row>
    <row r="80" spans="1:222" s="3" customFormat="1" ht="12" customHeight="1">
      <c r="A80" s="3" t="s">
        <v>122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/>
      <c r="P80" s="7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</row>
    <row r="81" spans="1:221" s="3" customFormat="1" ht="12.75" customHeight="1">
      <c r="A81" s="66" t="s">
        <v>75</v>
      </c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30"/>
      <c r="O81"/>
      <c r="P81" s="7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</row>
    <row r="82" spans="1:221" s="3" customFormat="1" ht="3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/>
      <c r="P82" s="7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</row>
    <row r="83" spans="1:221" s="3" customFormat="1" ht="14.25" customHeight="1">
      <c r="A83" s="3" t="s">
        <v>123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/>
      <c r="P83" s="7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</row>
    <row r="84" spans="1:221" s="3" customFormat="1" ht="12.75" customHeight="1">
      <c r="A84" s="66" t="s">
        <v>75</v>
      </c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30"/>
      <c r="O84"/>
      <c r="P84" s="7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</row>
    <row r="85" spans="1:221" s="3" customFormat="1" ht="4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/>
      <c r="P85" s="7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</row>
    <row r="86" spans="1:221" s="3" customFormat="1" ht="12.75" customHeight="1">
      <c r="A86" s="61" t="s">
        <v>94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/>
      <c r="P86" s="7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</row>
    <row r="87" spans="1:221" s="3" customFormat="1" ht="12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/>
      <c r="P87" s="7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</row>
    <row r="88" spans="1:221" s="3" customForma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/>
      <c r="P88" s="7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</row>
    <row r="89" spans="1:221" ht="26.2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</row>
    <row r="90" spans="1:221" ht="19.5" hidden="1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</row>
    <row r="91" spans="1:221" ht="12.75" customHeight="1">
      <c r="A91" s="60" t="s">
        <v>121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42"/>
      <c r="P91" s="42"/>
      <c r="Q91" s="42"/>
      <c r="R91" s="42"/>
      <c r="S91" s="42"/>
      <c r="T91" s="42"/>
      <c r="U91" s="3"/>
      <c r="V91" s="3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</row>
    <row r="92" spans="1:221"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</row>
    <row r="93" spans="1:221"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</row>
    <row r="94" spans="1:221"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</row>
    <row r="95" spans="1:221"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</row>
    <row r="96" spans="1:221"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</row>
    <row r="97" spans="16:221"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</row>
    <row r="98" spans="16:221"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</row>
    <row r="99" spans="16:221"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</row>
    <row r="100" spans="16:221"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</row>
    <row r="101" spans="16:221"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</row>
    <row r="102" spans="16:221"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</row>
    <row r="103" spans="16:221"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</row>
    <row r="104" spans="16:221"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</row>
    <row r="105" spans="16:221"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</row>
    <row r="106" spans="16:221"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</row>
    <row r="107" spans="16:221"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</row>
    <row r="108" spans="16:221"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</row>
    <row r="109" spans="16:221"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</row>
    <row r="110" spans="16:221"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</row>
    <row r="111" spans="16:221"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</row>
    <row r="112" spans="16:221"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</row>
    <row r="113" spans="16:221"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</row>
    <row r="114" spans="16:221"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</row>
    <row r="115" spans="16:221"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</row>
    <row r="116" spans="16:221"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</row>
    <row r="117" spans="16:221"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</row>
    <row r="118" spans="16:221"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</row>
    <row r="119" spans="16:221"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</row>
    <row r="120" spans="16:221"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</row>
    <row r="121" spans="16:221"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</row>
    <row r="122" spans="16:221"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</row>
    <row r="123" spans="16:221"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</row>
    <row r="124" spans="16:221"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</row>
    <row r="125" spans="16:221"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</row>
    <row r="126" spans="16:221"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</row>
    <row r="127" spans="16:221"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</row>
    <row r="128" spans="16:221"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</row>
    <row r="129" spans="16:221"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</row>
    <row r="130" spans="16:221"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</row>
    <row r="131" spans="16:221"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</row>
    <row r="132" spans="16:221"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</row>
    <row r="133" spans="16:221"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</row>
    <row r="134" spans="16:221"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</row>
    <row r="135" spans="16:221"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</row>
    <row r="136" spans="16:221"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</row>
    <row r="137" spans="16:221"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</row>
    <row r="138" spans="16:221"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</row>
    <row r="139" spans="16:221"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</row>
    <row r="140" spans="16:221"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</row>
    <row r="141" spans="16:221"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</row>
    <row r="142" spans="16:221"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</row>
    <row r="143" spans="16:221"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</row>
    <row r="144" spans="16:221"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</row>
    <row r="145" spans="16:221"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</row>
    <row r="146" spans="16:221"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</row>
    <row r="147" spans="16:221"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</row>
    <row r="148" spans="16:221"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</row>
    <row r="149" spans="16:221"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</row>
    <row r="150" spans="16:221"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</row>
    <row r="151" spans="16:221"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</row>
    <row r="152" spans="16:221"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</row>
    <row r="153" spans="16:221"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</row>
    <row r="154" spans="16:221"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</row>
    <row r="155" spans="16:221"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</row>
    <row r="156" spans="16:221"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</row>
    <row r="157" spans="16:221"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</row>
    <row r="158" spans="16:221"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</row>
    <row r="159" spans="16:221"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</row>
    <row r="160" spans="16:221"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</row>
    <row r="161" spans="16:221"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</row>
    <row r="162" spans="16:221"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</row>
    <row r="163" spans="16:221"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</row>
    <row r="164" spans="16:221"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</row>
    <row r="165" spans="16:221"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</row>
    <row r="166" spans="16:221"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</row>
    <row r="167" spans="16:221"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</row>
    <row r="168" spans="16:221"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</row>
    <row r="169" spans="16:221"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</row>
    <row r="170" spans="16:221"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</row>
    <row r="171" spans="16:221"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</row>
    <row r="172" spans="16:221"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</row>
    <row r="173" spans="16:221"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</row>
    <row r="174" spans="16:221"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</row>
    <row r="175" spans="16:221"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</row>
    <row r="176" spans="16:221"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</row>
    <row r="177" spans="16:221"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</row>
    <row r="178" spans="16:221"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</row>
    <row r="179" spans="16:221"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</row>
    <row r="180" spans="16:221"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</row>
    <row r="181" spans="16:221"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</row>
    <row r="182" spans="16:221"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</row>
    <row r="183" spans="16:221"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</row>
    <row r="184" spans="16:221"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</row>
    <row r="185" spans="16:221"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</row>
    <row r="186" spans="16:221"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</row>
    <row r="187" spans="16:221"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</row>
    <row r="188" spans="16:221"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</row>
    <row r="189" spans="16:221"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</row>
    <row r="190" spans="16:221"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</row>
    <row r="191" spans="16:221"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</row>
    <row r="192" spans="16:221"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</row>
    <row r="193" spans="16:221"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</row>
    <row r="194" spans="16:221"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</row>
    <row r="195" spans="16:221"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</row>
    <row r="196" spans="16:221"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</row>
    <row r="197" spans="16:221"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</row>
    <row r="198" spans="16:221"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</row>
    <row r="199" spans="16:221"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</row>
    <row r="200" spans="16:221"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</row>
    <row r="201" spans="16:221"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</row>
    <row r="202" spans="16:221"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</row>
    <row r="203" spans="16:221"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</row>
    <row r="204" spans="16:221"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</row>
    <row r="205" spans="16:221"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</row>
    <row r="206" spans="16:221"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</row>
    <row r="207" spans="16:221"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</row>
    <row r="208" spans="16:221"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</row>
    <row r="209" spans="16:221"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</row>
    <row r="210" spans="16:221"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</row>
    <row r="211" spans="16:221"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</row>
    <row r="212" spans="16:221"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</row>
    <row r="213" spans="16:221"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</row>
    <row r="214" spans="16:221"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</row>
    <row r="215" spans="16:221"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</row>
    <row r="216" spans="16:221"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</row>
    <row r="217" spans="16:221"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</row>
    <row r="218" spans="16:221"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</row>
    <row r="219" spans="16:221"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</row>
    <row r="220" spans="16:221"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</row>
    <row r="221" spans="16:221"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</row>
    <row r="222" spans="16:221"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</row>
    <row r="223" spans="16:221"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</row>
    <row r="224" spans="16:221"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</row>
    <row r="225" spans="16:221"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</row>
    <row r="226" spans="16:221"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</row>
    <row r="227" spans="16:221"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</row>
    <row r="228" spans="16:221"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</row>
    <row r="229" spans="16:221"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</row>
    <row r="230" spans="16:221"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</row>
    <row r="231" spans="16:221"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</row>
    <row r="232" spans="16:221"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</row>
    <row r="233" spans="16:221"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</row>
    <row r="234" spans="16:221"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</row>
    <row r="235" spans="16:221"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</row>
    <row r="236" spans="16:221"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</row>
    <row r="237" spans="16:221"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</row>
    <row r="238" spans="16:221"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</row>
    <row r="239" spans="16:221"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</row>
    <row r="240" spans="16:221"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</row>
    <row r="241" spans="16:221"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</row>
    <row r="242" spans="16:221"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</row>
    <row r="243" spans="16:221"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</row>
    <row r="244" spans="16:221"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</row>
    <row r="245" spans="16:221"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</row>
    <row r="246" spans="16:221"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</row>
    <row r="247" spans="16:221"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</row>
    <row r="248" spans="16:221"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</row>
    <row r="249" spans="16:221"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</row>
    <row r="250" spans="16:221"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</row>
    <row r="251" spans="16:221"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</row>
    <row r="252" spans="16:221"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</row>
    <row r="253" spans="16:221"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</row>
    <row r="254" spans="16:221"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</row>
    <row r="255" spans="16:221"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</row>
    <row r="256" spans="16:221"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</row>
    <row r="257" spans="16:221"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</row>
    <row r="258" spans="16:221"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</row>
    <row r="259" spans="16:221"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</row>
    <row r="260" spans="16:221"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</row>
    <row r="261" spans="16:221"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</row>
    <row r="262" spans="16:221"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</row>
    <row r="263" spans="16:221"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</row>
    <row r="264" spans="16:221"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</row>
    <row r="265" spans="16:221"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</row>
    <row r="266" spans="16:221"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</row>
    <row r="267" spans="16:221"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</row>
    <row r="268" spans="16:221"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</row>
    <row r="269" spans="16:221"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</row>
    <row r="270" spans="16:221"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</row>
    <row r="271" spans="16:221"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</row>
    <row r="272" spans="16:221"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</row>
    <row r="273" spans="16:221"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</row>
    <row r="274" spans="16:221"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</row>
    <row r="275" spans="16:221"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</row>
    <row r="276" spans="16:221"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</row>
    <row r="277" spans="16:221"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</row>
    <row r="278" spans="16:221"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</row>
    <row r="279" spans="16:221"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</row>
    <row r="280" spans="16:221"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</row>
    <row r="281" spans="16:221"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</row>
    <row r="282" spans="16:221"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</row>
    <row r="283" spans="16:221"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</row>
    <row r="284" spans="16:221"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</row>
    <row r="285" spans="16:221"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</row>
    <row r="286" spans="16:221"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</row>
    <row r="287" spans="16:221"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</row>
    <row r="288" spans="16:221"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</row>
    <row r="289" spans="16:221"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</row>
    <row r="290" spans="16:221"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</row>
    <row r="291" spans="16:221"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</row>
    <row r="292" spans="16:221"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</row>
    <row r="293" spans="16:221"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</row>
    <row r="294" spans="16:221"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</row>
    <row r="295" spans="16:221"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</row>
    <row r="296" spans="16:221"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</row>
    <row r="297" spans="16:221"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</row>
    <row r="298" spans="16:221"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</row>
    <row r="299" spans="16:221"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</row>
    <row r="300" spans="16:221"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</row>
    <row r="301" spans="16:221"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</row>
    <row r="302" spans="16:221"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</row>
    <row r="303" spans="16:221"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</row>
    <row r="304" spans="16:221"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</row>
    <row r="305" spans="16:221"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</row>
    <row r="306" spans="16:221"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</row>
    <row r="307" spans="16:221"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</row>
    <row r="308" spans="16:221"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</row>
    <row r="309" spans="16:221"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</row>
    <row r="310" spans="16:221"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</row>
    <row r="311" spans="16:221"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</row>
    <row r="312" spans="16:221"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</row>
    <row r="313" spans="16:221"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</row>
    <row r="314" spans="16:221"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</row>
    <row r="315" spans="16:221"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</row>
    <row r="316" spans="16:221"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</row>
    <row r="317" spans="16:221"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</row>
    <row r="318" spans="16:221"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</row>
    <row r="319" spans="16:221"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</row>
    <row r="320" spans="16:221"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</row>
    <row r="321" spans="16:221"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</row>
    <row r="322" spans="16:221"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</row>
    <row r="323" spans="16:221"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</row>
    <row r="324" spans="16:221"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</row>
    <row r="325" spans="16:221"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</row>
    <row r="326" spans="16:221"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</row>
    <row r="327" spans="16:221"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</row>
    <row r="328" spans="16:221"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</row>
    <row r="329" spans="16:221"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</row>
    <row r="330" spans="16:221"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</row>
    <row r="331" spans="16:221"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</row>
    <row r="332" spans="16:221"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</row>
    <row r="333" spans="16:221"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</row>
    <row r="334" spans="16:221"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</row>
    <row r="335" spans="16:221"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</row>
    <row r="336" spans="16:221"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</row>
    <row r="337" spans="16:221"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</row>
    <row r="338" spans="16:221"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</row>
    <row r="339" spans="16:221"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</row>
    <row r="340" spans="16:221"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</row>
    <row r="341" spans="16:221"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</row>
    <row r="342" spans="16:221"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</row>
    <row r="343" spans="16:221"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</row>
    <row r="344" spans="16:221"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</row>
    <row r="345" spans="16:221"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</row>
    <row r="346" spans="16:221"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</row>
    <row r="347" spans="16:221"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</row>
    <row r="348" spans="16:221"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</row>
    <row r="349" spans="16:221"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</row>
    <row r="350" spans="16:221"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</row>
    <row r="351" spans="16:221"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</row>
    <row r="352" spans="16:221"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</row>
    <row r="353" spans="16:221"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</row>
    <row r="354" spans="16:221"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</row>
    <row r="355" spans="16:221"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</row>
    <row r="356" spans="16:221"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</row>
    <row r="357" spans="16:221"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</row>
    <row r="358" spans="16:221"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</row>
    <row r="359" spans="16:221"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</row>
    <row r="360" spans="16:221"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</row>
    <row r="361" spans="16:221"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</row>
    <row r="362" spans="16:221"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</row>
    <row r="363" spans="16:221"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</row>
    <row r="364" spans="16:221"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</row>
    <row r="365" spans="16:221"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</row>
    <row r="366" spans="16:221"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</row>
    <row r="367" spans="16:221"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</row>
    <row r="368" spans="16:221"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</row>
    <row r="369" spans="16:221"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</row>
    <row r="370" spans="16:221"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</row>
    <row r="371" spans="16:221"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</row>
    <row r="372" spans="16:221"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</row>
    <row r="373" spans="16:221"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</row>
    <row r="374" spans="16:221"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</row>
    <row r="375" spans="16:221"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</row>
    <row r="376" spans="16:221"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</row>
    <row r="377" spans="16:221"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</row>
    <row r="378" spans="16:221"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</row>
    <row r="379" spans="16:221"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</row>
    <row r="380" spans="16:221"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</row>
    <row r="381" spans="16:221"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</row>
    <row r="382" spans="16:221"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</row>
    <row r="383" spans="16:221"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</row>
    <row r="384" spans="16:221"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</row>
    <row r="385" spans="16:221"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</row>
    <row r="386" spans="16:221"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</row>
    <row r="387" spans="16:221"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</row>
    <row r="388" spans="16:221"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</row>
    <row r="389" spans="16:221"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</row>
    <row r="390" spans="16:221"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</row>
    <row r="391" spans="16:221"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</row>
    <row r="392" spans="16:221"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</row>
    <row r="393" spans="16:221"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</row>
    <row r="394" spans="16:221"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</row>
    <row r="395" spans="16:221"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</row>
    <row r="396" spans="16:221"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</row>
    <row r="397" spans="16:221"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</row>
    <row r="398" spans="16:221"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</row>
    <row r="399" spans="16:221"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</row>
    <row r="400" spans="16:221"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</row>
    <row r="401" spans="16:221"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</row>
    <row r="402" spans="16:221">
      <c r="P402" s="7"/>
    </row>
    <row r="403" spans="16:221">
      <c r="P403" s="7"/>
    </row>
    <row r="404" spans="16:221">
      <c r="P404" s="7"/>
    </row>
    <row r="405" spans="16:221">
      <c r="P405" s="7"/>
    </row>
    <row r="406" spans="16:221">
      <c r="P406" s="7"/>
    </row>
    <row r="407" spans="16:221">
      <c r="P407" s="7"/>
    </row>
    <row r="408" spans="16:221">
      <c r="P408" s="7"/>
    </row>
    <row r="409" spans="16:221">
      <c r="P409" s="7"/>
    </row>
    <row r="410" spans="16:221">
      <c r="P410" s="7"/>
    </row>
    <row r="411" spans="16:221">
      <c r="P411" s="7"/>
    </row>
    <row r="412" spans="16:221">
      <c r="P412" s="7"/>
    </row>
    <row r="413" spans="16:221">
      <c r="P413" s="7"/>
    </row>
    <row r="414" spans="16:221">
      <c r="P414" s="7"/>
    </row>
    <row r="415" spans="16:221">
      <c r="P415" s="7"/>
    </row>
    <row r="416" spans="16:221">
      <c r="P416" s="7"/>
    </row>
    <row r="417" spans="16:16">
      <c r="P417" s="7"/>
    </row>
    <row r="418" spans="16:16">
      <c r="P418" s="7"/>
    </row>
    <row r="419" spans="16:16">
      <c r="P419" s="7"/>
    </row>
    <row r="420" spans="16:16">
      <c r="P420" s="7"/>
    </row>
    <row r="421" spans="16:16">
      <c r="P421" s="7"/>
    </row>
    <row r="422" spans="16:16">
      <c r="P422" s="7"/>
    </row>
    <row r="423" spans="16:16">
      <c r="P423" s="7"/>
    </row>
    <row r="424" spans="16:16">
      <c r="P424" s="7"/>
    </row>
    <row r="425" spans="16:16">
      <c r="P425" s="7"/>
    </row>
    <row r="426" spans="16:16">
      <c r="P426" s="7"/>
    </row>
    <row r="427" spans="16:16">
      <c r="P427" s="7"/>
    </row>
    <row r="428" spans="16:16">
      <c r="P428" s="7"/>
    </row>
    <row r="429" spans="16:16">
      <c r="P429" s="7"/>
    </row>
    <row r="430" spans="16:16">
      <c r="P430" s="7"/>
    </row>
    <row r="431" spans="16:16">
      <c r="P431" s="7"/>
    </row>
    <row r="432" spans="16:16">
      <c r="P432" s="7"/>
    </row>
    <row r="433" spans="16:16">
      <c r="P433" s="7"/>
    </row>
    <row r="434" spans="16:16">
      <c r="P434" s="7"/>
    </row>
    <row r="435" spans="16:16">
      <c r="P435" s="7"/>
    </row>
    <row r="436" spans="16:16">
      <c r="P436" s="7"/>
    </row>
    <row r="437" spans="16:16">
      <c r="P437" s="7"/>
    </row>
    <row r="438" spans="16:16">
      <c r="P438" s="7"/>
    </row>
    <row r="439" spans="16:16">
      <c r="P439" s="7"/>
    </row>
    <row r="440" spans="16:16">
      <c r="P440" s="7"/>
    </row>
    <row r="441" spans="16:16">
      <c r="P441" s="7"/>
    </row>
    <row r="442" spans="16:16">
      <c r="P442" s="7"/>
    </row>
    <row r="443" spans="16:16">
      <c r="P443" s="7"/>
    </row>
    <row r="444" spans="16:16">
      <c r="P444" s="7"/>
    </row>
    <row r="445" spans="16:16">
      <c r="P445" s="7"/>
    </row>
    <row r="446" spans="16:16">
      <c r="P446" s="7"/>
    </row>
    <row r="447" spans="16:16">
      <c r="P447" s="7"/>
    </row>
    <row r="448" spans="16:16">
      <c r="P448" s="7"/>
    </row>
    <row r="449" spans="16:16">
      <c r="P449" s="7"/>
    </row>
    <row r="450" spans="16:16">
      <c r="P450" s="7"/>
    </row>
    <row r="451" spans="16:16">
      <c r="P451" s="7"/>
    </row>
    <row r="452" spans="16:16">
      <c r="P452" s="7"/>
    </row>
    <row r="453" spans="16:16">
      <c r="P453" s="7"/>
    </row>
    <row r="454" spans="16:16">
      <c r="P454" s="7"/>
    </row>
    <row r="455" spans="16:16">
      <c r="P455" s="7"/>
    </row>
    <row r="456" spans="16:16">
      <c r="P456" s="7"/>
    </row>
    <row r="457" spans="16:16">
      <c r="P457" s="7"/>
    </row>
    <row r="458" spans="16:16">
      <c r="P458" s="7"/>
    </row>
    <row r="459" spans="16:16">
      <c r="P459" s="7"/>
    </row>
    <row r="460" spans="16:16">
      <c r="P460" s="7"/>
    </row>
    <row r="461" spans="16:16">
      <c r="P461" s="7"/>
    </row>
    <row r="462" spans="16:16">
      <c r="P462" s="7"/>
    </row>
    <row r="463" spans="16:16">
      <c r="P463" s="7"/>
    </row>
    <row r="464" spans="16:16">
      <c r="P464" s="7"/>
    </row>
    <row r="465" spans="16:16">
      <c r="P465" s="7"/>
    </row>
    <row r="466" spans="16:16">
      <c r="P466" s="7"/>
    </row>
    <row r="467" spans="16:16">
      <c r="P467" s="7"/>
    </row>
    <row r="468" spans="16:16">
      <c r="P468" s="7"/>
    </row>
    <row r="469" spans="16:16">
      <c r="P469" s="7"/>
    </row>
    <row r="470" spans="16:16">
      <c r="P470" s="7"/>
    </row>
    <row r="471" spans="16:16">
      <c r="P471" s="7"/>
    </row>
    <row r="472" spans="16:16">
      <c r="P472" s="7"/>
    </row>
    <row r="473" spans="16:16">
      <c r="P473" s="7"/>
    </row>
    <row r="474" spans="16:16">
      <c r="P474" s="7"/>
    </row>
    <row r="475" spans="16:16">
      <c r="P475" s="7"/>
    </row>
    <row r="476" spans="16:16">
      <c r="P476" s="7"/>
    </row>
    <row r="477" spans="16:16">
      <c r="P477" s="7"/>
    </row>
    <row r="478" spans="16:16">
      <c r="P478" s="7"/>
    </row>
    <row r="479" spans="16:16">
      <c r="P479" s="7"/>
    </row>
    <row r="480" spans="16:16">
      <c r="P480" s="7"/>
    </row>
    <row r="481" spans="16:16">
      <c r="P481" s="7"/>
    </row>
    <row r="482" spans="16:16">
      <c r="P482" s="7"/>
    </row>
    <row r="483" spans="16:16">
      <c r="P483" s="7"/>
    </row>
    <row r="484" spans="16:16">
      <c r="P484" s="7"/>
    </row>
    <row r="485" spans="16:16">
      <c r="P485" s="7"/>
    </row>
    <row r="486" spans="16:16">
      <c r="P486" s="7"/>
    </row>
    <row r="487" spans="16:16">
      <c r="P487" s="7"/>
    </row>
    <row r="488" spans="16:16">
      <c r="P488" s="7"/>
    </row>
    <row r="489" spans="16:16">
      <c r="P489" s="7"/>
    </row>
    <row r="490" spans="16:16">
      <c r="P490" s="7"/>
    </row>
    <row r="491" spans="16:16">
      <c r="P491" s="7"/>
    </row>
    <row r="492" spans="16:16">
      <c r="P492" s="7"/>
    </row>
    <row r="493" spans="16:16">
      <c r="P493" s="7"/>
    </row>
    <row r="494" spans="16:16">
      <c r="P494" s="7"/>
    </row>
    <row r="495" spans="16:16">
      <c r="P495" s="7"/>
    </row>
    <row r="496" spans="16:16">
      <c r="P496" s="7"/>
    </row>
    <row r="497" spans="16:16">
      <c r="P497" s="7"/>
    </row>
    <row r="498" spans="16:16">
      <c r="P498" s="7"/>
    </row>
    <row r="499" spans="16:16">
      <c r="P499" s="7"/>
    </row>
    <row r="500" spans="16:16">
      <c r="P500" s="7"/>
    </row>
    <row r="501" spans="16:16">
      <c r="P501" s="7"/>
    </row>
    <row r="502" spans="16:16">
      <c r="P502" s="7"/>
    </row>
    <row r="503" spans="16:16">
      <c r="P503" s="7"/>
    </row>
    <row r="504" spans="16:16">
      <c r="P504" s="7"/>
    </row>
    <row r="505" spans="16:16">
      <c r="P505" s="7"/>
    </row>
    <row r="506" spans="16:16">
      <c r="P506" s="7"/>
    </row>
    <row r="507" spans="16:16">
      <c r="P507" s="7"/>
    </row>
    <row r="508" spans="16:16">
      <c r="P508" s="7"/>
    </row>
    <row r="509" spans="16:16">
      <c r="P509" s="7"/>
    </row>
    <row r="510" spans="16:16">
      <c r="P510" s="7"/>
    </row>
    <row r="511" spans="16:16">
      <c r="P511" s="7"/>
    </row>
    <row r="512" spans="16:16">
      <c r="P512" s="7"/>
    </row>
    <row r="513" spans="16:16">
      <c r="P513" s="7"/>
    </row>
    <row r="514" spans="16:16">
      <c r="P514" s="7"/>
    </row>
    <row r="515" spans="16:16">
      <c r="P515" s="7"/>
    </row>
    <row r="516" spans="16:16">
      <c r="P516" s="7"/>
    </row>
    <row r="517" spans="16:16">
      <c r="P517" s="7"/>
    </row>
    <row r="518" spans="16:16">
      <c r="P518" s="7"/>
    </row>
    <row r="519" spans="16:16">
      <c r="P519" s="7"/>
    </row>
    <row r="520" spans="16:16">
      <c r="P520" s="7"/>
    </row>
    <row r="521" spans="16:16">
      <c r="P521" s="7"/>
    </row>
    <row r="522" spans="16:16">
      <c r="P522" s="7"/>
    </row>
    <row r="523" spans="16:16">
      <c r="P523" s="7"/>
    </row>
    <row r="524" spans="16:16">
      <c r="P524" s="7"/>
    </row>
  </sheetData>
  <mergeCells count="87">
    <mergeCell ref="B47:J47"/>
    <mergeCell ref="B49:J49"/>
    <mergeCell ref="B50:J50"/>
    <mergeCell ref="A91:N91"/>
    <mergeCell ref="A86:N90"/>
    <mergeCell ref="B74:J74"/>
    <mergeCell ref="A78:N78"/>
    <mergeCell ref="A81:M81"/>
    <mergeCell ref="A84:M84"/>
    <mergeCell ref="A75:O75"/>
    <mergeCell ref="A76:N76"/>
    <mergeCell ref="B73:J73"/>
    <mergeCell ref="B60:J60"/>
    <mergeCell ref="B61:J61"/>
    <mergeCell ref="B62:J62"/>
    <mergeCell ref="B63:J63"/>
    <mergeCell ref="B44:J44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28:J28"/>
    <mergeCell ref="B29:J29"/>
    <mergeCell ref="B30:J30"/>
    <mergeCell ref="B45:J45"/>
    <mergeCell ref="B46:J46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12:J12"/>
    <mergeCell ref="B13:J13"/>
    <mergeCell ref="B14:J14"/>
    <mergeCell ref="B15:J15"/>
    <mergeCell ref="B16:J16"/>
    <mergeCell ref="B17:J17"/>
    <mergeCell ref="B18:J18"/>
    <mergeCell ref="B48:J48"/>
    <mergeCell ref="B51:J51"/>
    <mergeCell ref="B52:J52"/>
    <mergeCell ref="B31:J31"/>
    <mergeCell ref="B32:J32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53:J53"/>
    <mergeCell ref="B54:J54"/>
    <mergeCell ref="B55:J55"/>
    <mergeCell ref="B56:J56"/>
    <mergeCell ref="B57:J57"/>
    <mergeCell ref="B58:J58"/>
    <mergeCell ref="B59:J59"/>
    <mergeCell ref="B72:J72"/>
    <mergeCell ref="B71:J71"/>
    <mergeCell ref="B70:J70"/>
    <mergeCell ref="B69:J69"/>
    <mergeCell ref="B68:J68"/>
    <mergeCell ref="B67:J67"/>
    <mergeCell ref="B66:J66"/>
    <mergeCell ref="B65:J65"/>
    <mergeCell ref="B64:J64"/>
    <mergeCell ref="K45:K63"/>
    <mergeCell ref="K65:K73"/>
    <mergeCell ref="N5:N31"/>
    <mergeCell ref="N32:N63"/>
    <mergeCell ref="N64:N73"/>
    <mergeCell ref="K5:K24"/>
    <mergeCell ref="K25:K31"/>
    <mergeCell ref="K32:K44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 differentFirst="1">
    <oddFooter>&amp;R&amp;"Arial,обычный"&amp;9&amp;K000000Протокол от 20 марта 2026 г. № 1/02.02.26-1-Р/26
Общее количество страниц &amp;N Страница &amp;P</oddFooter>
    <firstFooter>&amp;R&amp;"Arial,обычный"&amp;9Протокол от 20 марта 2026 г. № 1/02.02.26-1-Р/26
Общее количество страниц &amp;N Страница &amp;P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2"/>
  <sheetViews>
    <sheetView topLeftCell="A37" workbookViewId="0">
      <selection activeCell="P7" sqref="P7:P69"/>
    </sheetView>
  </sheetViews>
  <sheetFormatPr defaultRowHeight="15"/>
  <cols>
    <col min="8" max="8" width="19" customWidth="1"/>
    <col min="9" max="9" width="10.28515625" customWidth="1"/>
    <col min="10" max="10" width="8.5703125" customWidth="1"/>
    <col min="11" max="11" width="9" customWidth="1"/>
    <col min="12" max="12" width="10.28515625" customWidth="1"/>
    <col min="13" max="13" width="8.5703125" customWidth="1"/>
    <col min="14" max="14" width="9" customWidth="1"/>
    <col min="15" max="15" width="2.7109375" customWidth="1"/>
    <col min="16" max="22" width="6.42578125" customWidth="1"/>
  </cols>
  <sheetData>
    <row r="1" spans="1:25" ht="16.5" thickBot="1">
      <c r="A1" s="8">
        <v>2</v>
      </c>
      <c r="B1" s="9">
        <v>4</v>
      </c>
      <c r="C1" s="9">
        <v>8</v>
      </c>
      <c r="D1" s="9">
        <v>16</v>
      </c>
      <c r="E1" s="9">
        <v>31.5</v>
      </c>
      <c r="F1" s="10">
        <v>63</v>
      </c>
      <c r="G1" s="1" t="s">
        <v>58</v>
      </c>
    </row>
    <row r="2" spans="1:25" ht="15.75">
      <c r="A2" s="11">
        <v>72</v>
      </c>
      <c r="B2" s="12">
        <v>73</v>
      </c>
      <c r="C2" s="12">
        <v>75</v>
      </c>
      <c r="D2" s="12">
        <v>81</v>
      </c>
      <c r="E2" s="12">
        <v>87</v>
      </c>
      <c r="F2" s="12">
        <v>93</v>
      </c>
      <c r="G2" s="13">
        <v>72</v>
      </c>
    </row>
    <row r="3" spans="1:25" ht="15.75">
      <c r="A3" s="11">
        <v>80</v>
      </c>
      <c r="B3" s="11">
        <v>81</v>
      </c>
      <c r="C3" s="11">
        <v>83</v>
      </c>
      <c r="D3" s="11">
        <v>89</v>
      </c>
      <c r="E3" s="11">
        <v>95</v>
      </c>
      <c r="F3" s="11">
        <v>101</v>
      </c>
      <c r="G3" s="13">
        <v>80</v>
      </c>
      <c r="J3">
        <v>1</v>
      </c>
    </row>
    <row r="4" spans="1:25">
      <c r="A4" s="14">
        <v>18</v>
      </c>
      <c r="B4" s="14">
        <v>0.1</v>
      </c>
      <c r="C4" s="14">
        <v>0.1</v>
      </c>
      <c r="D4" s="14">
        <v>0.1</v>
      </c>
      <c r="E4" s="14">
        <v>0.1</v>
      </c>
      <c r="F4" s="14">
        <v>0.1</v>
      </c>
      <c r="G4" s="14">
        <v>0.1</v>
      </c>
      <c r="P4">
        <v>1</v>
      </c>
      <c r="R4">
        <v>1</v>
      </c>
      <c r="S4">
        <v>1</v>
      </c>
    </row>
    <row r="5" spans="1:25">
      <c r="A5" s="15">
        <v>26</v>
      </c>
      <c r="B5" s="15">
        <v>0.18</v>
      </c>
      <c r="C5" s="15">
        <v>0.14000000000000001</v>
      </c>
      <c r="D5" s="15">
        <v>0.19</v>
      </c>
      <c r="E5" s="15">
        <v>0.15</v>
      </c>
      <c r="F5" s="15">
        <v>0.17</v>
      </c>
      <c r="G5" s="15">
        <v>0.21</v>
      </c>
      <c r="V5">
        <v>1</v>
      </c>
      <c r="W5">
        <v>1</v>
      </c>
    </row>
    <row r="6" spans="1:25" ht="15.75">
      <c r="A6" s="16"/>
      <c r="B6" s="17"/>
      <c r="C6" s="17"/>
      <c r="D6" s="17"/>
      <c r="E6" s="17"/>
      <c r="F6" s="17"/>
      <c r="G6" s="17"/>
      <c r="I6" t="s">
        <v>59</v>
      </c>
      <c r="J6" t="s">
        <v>60</v>
      </c>
      <c r="K6" t="s">
        <v>61</v>
      </c>
      <c r="L6" t="s">
        <v>59</v>
      </c>
      <c r="M6" t="s">
        <v>60</v>
      </c>
      <c r="N6" t="s">
        <v>61</v>
      </c>
    </row>
    <row r="7" spans="1:25">
      <c r="A7" s="7">
        <f t="shared" ref="A7:A70" ca="1" si="0">RAND()*($A$5-$A$4)+$A$4</f>
        <v>24.001916337818038</v>
      </c>
      <c r="B7" s="7">
        <f ca="1">RAND()*($B$5-$B$4)+$B$4</f>
        <v>0.15706326464216916</v>
      </c>
      <c r="C7" s="7">
        <f ca="1">RAND()*($C$5-$C$4)+$C$4</f>
        <v>0.10756390614899139</v>
      </c>
      <c r="D7" s="7">
        <f ca="1">RAND()*($D$5-$D$4)+$D$4</f>
        <v>0.12228845527656453</v>
      </c>
      <c r="E7" s="7">
        <f ca="1">RAND()*($E$5-$E$4)+$E$4</f>
        <v>0.12003259009190588</v>
      </c>
      <c r="F7" s="7">
        <f ca="1">RAND()*($F$5-$F$4)+$F$4</f>
        <v>0.11217271787103536</v>
      </c>
      <c r="G7" s="7">
        <f ca="1">RAND()*($G$5-$G$4)+$G$4</f>
        <v>0.16155698304959662</v>
      </c>
      <c r="H7" s="5">
        <v>1</v>
      </c>
      <c r="I7" s="7">
        <f ca="1">MIN(A7:G7)</f>
        <v>0.10756390614899139</v>
      </c>
      <c r="J7" s="7">
        <f ca="1">MAX(A7:G7)</f>
        <v>24.001916337818038</v>
      </c>
      <c r="K7" s="7">
        <f ca="1">AVERAGE(A7:G7)</f>
        <v>3.5403706078426147</v>
      </c>
      <c r="L7" s="7">
        <f ca="1">ROUND(I7, 2)</f>
        <v>0.11</v>
      </c>
      <c r="M7" s="7">
        <f ca="1">ROUND(J7, 2)</f>
        <v>24</v>
      </c>
      <c r="N7" s="7">
        <f ca="1">ROUND(K7, 2)</f>
        <v>3.54</v>
      </c>
      <c r="O7" s="18"/>
      <c r="P7" s="5">
        <f ca="1">ROUND(A7,0)</f>
        <v>24</v>
      </c>
      <c r="Q7" s="7">
        <f ca="1">ROUND(B7,2)</f>
        <v>0.16</v>
      </c>
      <c r="R7" s="5">
        <f t="shared" ref="Q7:V22" ca="1" si="1">ROUND(C7,-1)</f>
        <v>0</v>
      </c>
      <c r="S7" s="5">
        <f t="shared" ca="1" si="1"/>
        <v>0</v>
      </c>
      <c r="T7" s="5">
        <f t="shared" ca="1" si="1"/>
        <v>0</v>
      </c>
      <c r="U7" s="5">
        <f t="shared" ca="1" si="1"/>
        <v>0</v>
      </c>
      <c r="V7" s="5">
        <f t="shared" ca="1" si="1"/>
        <v>0</v>
      </c>
    </row>
    <row r="8" spans="1:25">
      <c r="A8" s="7">
        <f t="shared" ca="1" si="0"/>
        <v>20.922492965465551</v>
      </c>
      <c r="B8" s="7">
        <f t="shared" ref="B8:B71" ca="1" si="2">RAND()*($B$5-$B$4)+$B$4</f>
        <v>0.1796469574275241</v>
      </c>
      <c r="C8" s="7">
        <f t="shared" ref="C8:C71" ca="1" si="3">RAND()*($C$5-$C$4)+$C$4</f>
        <v>0.11086763430543796</v>
      </c>
      <c r="D8" s="7">
        <f t="shared" ref="D8:D71" ca="1" si="4">RAND()*($D$5-$D$4)+$D$4</f>
        <v>0.16220715458884782</v>
      </c>
      <c r="E8" s="7">
        <f t="shared" ref="E8:E71" ca="1" si="5">RAND()*($E$5-$E$4)+$E$4</f>
        <v>0.13870697691848011</v>
      </c>
      <c r="F8" s="7">
        <f t="shared" ref="F8:F71" ca="1" si="6">RAND()*($F$5-$F$4)+$F$4</f>
        <v>0.11830597450339286</v>
      </c>
      <c r="G8" s="7">
        <f t="shared" ref="G8:G71" ca="1" si="7">RAND()*($G$5-$G$4)+$G$4</f>
        <v>0.12729583218639312</v>
      </c>
      <c r="H8">
        <v>2</v>
      </c>
      <c r="I8" s="7">
        <f t="shared" ref="I8:I71" ca="1" si="8">MIN(A8:G8)</f>
        <v>0.11086763430543796</v>
      </c>
      <c r="J8" s="7">
        <f t="shared" ref="J8:J71" ca="1" si="9">MAX(A8:G8)</f>
        <v>20.922492965465551</v>
      </c>
      <c r="K8" s="7">
        <f t="shared" ref="K8:K71" ca="1" si="10">AVERAGE(A8:G8)</f>
        <v>3.1085033564850906</v>
      </c>
      <c r="L8" s="7">
        <f t="shared" ref="L8:N56" ca="1" si="11">ROUND(I8, 2)</f>
        <v>0.11</v>
      </c>
      <c r="M8" s="7">
        <f t="shared" ca="1" si="11"/>
        <v>20.92</v>
      </c>
      <c r="N8" s="7">
        <f t="shared" ca="1" si="11"/>
        <v>3.11</v>
      </c>
      <c r="O8" s="18"/>
      <c r="P8" s="5">
        <f t="shared" ref="P8:P40" ca="1" si="12">ROUND(A8,0)</f>
        <v>21</v>
      </c>
      <c r="Q8" s="7">
        <f t="shared" ref="Q8:Q20" ca="1" si="13">ROUND(B8,2)</f>
        <v>0.18</v>
      </c>
      <c r="R8" s="5">
        <f t="shared" ca="1" si="1"/>
        <v>0</v>
      </c>
      <c r="S8" s="5">
        <f t="shared" ca="1" si="1"/>
        <v>0</v>
      </c>
      <c r="T8" s="5">
        <f t="shared" ca="1" si="1"/>
        <v>0</v>
      </c>
      <c r="U8" s="5">
        <f t="shared" ca="1" si="1"/>
        <v>0</v>
      </c>
      <c r="V8" s="5">
        <f t="shared" ca="1" si="1"/>
        <v>0</v>
      </c>
    </row>
    <row r="9" spans="1:25">
      <c r="A9" s="7">
        <f t="shared" ca="1" si="0"/>
        <v>23.53245732113184</v>
      </c>
      <c r="B9" s="7">
        <f t="shared" ca="1" si="2"/>
        <v>0.14403629879066915</v>
      </c>
      <c r="C9" s="7">
        <f t="shared" ca="1" si="3"/>
        <v>0.10410584350224164</v>
      </c>
      <c r="D9" s="7">
        <f t="shared" ca="1" si="4"/>
        <v>0.17265953359358088</v>
      </c>
      <c r="E9" s="7">
        <f t="shared" ca="1" si="5"/>
        <v>0.10191210712151134</v>
      </c>
      <c r="F9" s="7">
        <f t="shared" ca="1" si="6"/>
        <v>0.16870602620869002</v>
      </c>
      <c r="G9" s="7">
        <f t="shared" ca="1" si="7"/>
        <v>0.16469121907461748</v>
      </c>
      <c r="H9" s="5">
        <v>3</v>
      </c>
      <c r="I9" s="7">
        <f t="shared" ca="1" si="8"/>
        <v>0.10191210712151134</v>
      </c>
      <c r="J9" s="7">
        <f t="shared" ca="1" si="9"/>
        <v>23.53245732113184</v>
      </c>
      <c r="K9" s="7">
        <f t="shared" ca="1" si="10"/>
        <v>3.4840811927747359</v>
      </c>
      <c r="L9" s="7">
        <f t="shared" ca="1" si="11"/>
        <v>0.1</v>
      </c>
      <c r="M9" s="7">
        <f t="shared" ca="1" si="11"/>
        <v>23.53</v>
      </c>
      <c r="N9" s="7">
        <f t="shared" ca="1" si="11"/>
        <v>3.48</v>
      </c>
      <c r="O9" s="18"/>
      <c r="P9" s="5">
        <f t="shared" ca="1" si="12"/>
        <v>24</v>
      </c>
      <c r="Q9" s="7">
        <f t="shared" ca="1" si="13"/>
        <v>0.14000000000000001</v>
      </c>
      <c r="R9" s="5">
        <f t="shared" ca="1" si="1"/>
        <v>0</v>
      </c>
      <c r="S9" s="5">
        <f t="shared" ca="1" si="1"/>
        <v>0</v>
      </c>
      <c r="T9" s="5">
        <f t="shared" ca="1" si="1"/>
        <v>0</v>
      </c>
      <c r="U9" s="5">
        <f t="shared" ca="1" si="1"/>
        <v>0</v>
      </c>
      <c r="V9" s="5">
        <f t="shared" ca="1" si="1"/>
        <v>0</v>
      </c>
    </row>
    <row r="10" spans="1:25">
      <c r="A10" s="7">
        <f t="shared" ca="1" si="0"/>
        <v>22.455365647358551</v>
      </c>
      <c r="B10" s="7">
        <f t="shared" ca="1" si="2"/>
        <v>0.167927597627058</v>
      </c>
      <c r="C10" s="7">
        <f t="shared" ca="1" si="3"/>
        <v>0.11331086977777334</v>
      </c>
      <c r="D10" s="7">
        <f t="shared" ca="1" si="4"/>
        <v>0.15662512563267311</v>
      </c>
      <c r="E10" s="7">
        <f t="shared" ca="1" si="5"/>
        <v>0.11394739566330499</v>
      </c>
      <c r="F10" s="7">
        <f t="shared" ca="1" si="6"/>
        <v>0.10926226397870853</v>
      </c>
      <c r="G10" s="7">
        <f t="shared" ca="1" si="7"/>
        <v>0.13974728933530337</v>
      </c>
      <c r="H10">
        <v>4</v>
      </c>
      <c r="I10" s="7">
        <f t="shared" ca="1" si="8"/>
        <v>0.10926226397870853</v>
      </c>
      <c r="J10" s="7">
        <f t="shared" ca="1" si="9"/>
        <v>22.455365647358551</v>
      </c>
      <c r="K10" s="7">
        <f t="shared" ca="1" si="10"/>
        <v>3.3223123127676253</v>
      </c>
      <c r="L10" s="7">
        <f t="shared" ca="1" si="11"/>
        <v>0.11</v>
      </c>
      <c r="M10" s="7">
        <f t="shared" ca="1" si="11"/>
        <v>22.46</v>
      </c>
      <c r="N10" s="7">
        <f t="shared" ca="1" si="11"/>
        <v>3.32</v>
      </c>
      <c r="O10" s="18"/>
      <c r="P10" s="5">
        <f t="shared" ca="1" si="12"/>
        <v>22</v>
      </c>
      <c r="Q10" s="7">
        <f t="shared" ca="1" si="13"/>
        <v>0.17</v>
      </c>
      <c r="R10" s="5">
        <f t="shared" ca="1" si="1"/>
        <v>0</v>
      </c>
      <c r="S10" s="5">
        <f t="shared" ca="1" si="1"/>
        <v>0</v>
      </c>
      <c r="T10" s="5">
        <f t="shared" ca="1" si="1"/>
        <v>0</v>
      </c>
      <c r="U10" s="5">
        <f t="shared" ca="1" si="1"/>
        <v>0</v>
      </c>
      <c r="V10" s="5">
        <f t="shared" ca="1" si="1"/>
        <v>0</v>
      </c>
    </row>
    <row r="11" spans="1:25">
      <c r="A11" s="7">
        <f t="shared" ca="1" si="0"/>
        <v>19.491431930256784</v>
      </c>
      <c r="B11" s="7">
        <f t="shared" ca="1" si="2"/>
        <v>0.1648135970540377</v>
      </c>
      <c r="C11" s="7">
        <f t="shared" ca="1" si="3"/>
        <v>0.13870500810424796</v>
      </c>
      <c r="D11" s="7">
        <f t="shared" ca="1" si="4"/>
        <v>0.14690170838048819</v>
      </c>
      <c r="E11" s="7">
        <f t="shared" ca="1" si="5"/>
        <v>0.13646164859039175</v>
      </c>
      <c r="F11" s="7">
        <f t="shared" ca="1" si="6"/>
        <v>0.10632071483359122</v>
      </c>
      <c r="G11" s="7">
        <f t="shared" ca="1" si="7"/>
        <v>0.14025867947566836</v>
      </c>
      <c r="H11" s="5">
        <v>5</v>
      </c>
      <c r="I11" s="7">
        <f t="shared" ca="1" si="8"/>
        <v>0.10632071483359122</v>
      </c>
      <c r="J11" s="7">
        <f t="shared" ca="1" si="9"/>
        <v>19.491431930256784</v>
      </c>
      <c r="K11" s="7">
        <f t="shared" ca="1" si="10"/>
        <v>2.9035561838136013</v>
      </c>
      <c r="L11" s="7">
        <f t="shared" ca="1" si="11"/>
        <v>0.11</v>
      </c>
      <c r="M11" s="7">
        <f t="shared" ca="1" si="11"/>
        <v>19.489999999999998</v>
      </c>
      <c r="N11" s="7">
        <f t="shared" ca="1" si="11"/>
        <v>2.9</v>
      </c>
      <c r="O11" s="18"/>
      <c r="P11" s="5">
        <f t="shared" ca="1" si="12"/>
        <v>19</v>
      </c>
      <c r="Q11" s="7">
        <f t="shared" ca="1" si="13"/>
        <v>0.16</v>
      </c>
      <c r="R11" s="5">
        <f t="shared" ca="1" si="1"/>
        <v>0</v>
      </c>
      <c r="S11" s="5">
        <f t="shared" ca="1" si="1"/>
        <v>0</v>
      </c>
      <c r="T11" s="5">
        <f t="shared" ca="1" si="1"/>
        <v>0</v>
      </c>
      <c r="U11" s="5">
        <f t="shared" ca="1" si="1"/>
        <v>0</v>
      </c>
      <c r="V11" s="5">
        <f t="shared" ca="1" si="1"/>
        <v>0</v>
      </c>
    </row>
    <row r="12" spans="1:25">
      <c r="A12" s="7">
        <f t="shared" ca="1" si="0"/>
        <v>19.785118889423796</v>
      </c>
      <c r="B12" s="7">
        <f t="shared" ca="1" si="2"/>
        <v>0.15548492019787677</v>
      </c>
      <c r="C12" s="7">
        <f t="shared" ca="1" si="3"/>
        <v>0.11790675556620951</v>
      </c>
      <c r="D12" s="7">
        <f t="shared" ca="1" si="4"/>
        <v>0.15794648258521135</v>
      </c>
      <c r="E12" s="7">
        <f t="shared" ca="1" si="5"/>
        <v>0.14719587050013475</v>
      </c>
      <c r="F12" s="7">
        <f t="shared" ca="1" si="6"/>
        <v>0.12885399032466519</v>
      </c>
      <c r="G12" s="7">
        <f t="shared" ca="1" si="7"/>
        <v>0.19519757240023611</v>
      </c>
      <c r="H12">
        <v>6</v>
      </c>
      <c r="I12" s="7">
        <f t="shared" ca="1" si="8"/>
        <v>0.11790675556620951</v>
      </c>
      <c r="J12" s="7">
        <f t="shared" ca="1" si="9"/>
        <v>19.785118889423796</v>
      </c>
      <c r="K12" s="7">
        <f t="shared" ca="1" si="10"/>
        <v>2.9553863544283039</v>
      </c>
      <c r="L12" s="7">
        <f t="shared" ca="1" si="11"/>
        <v>0.12</v>
      </c>
      <c r="M12" s="7">
        <f t="shared" ca="1" si="11"/>
        <v>19.79</v>
      </c>
      <c r="N12" s="7">
        <f t="shared" ca="1" si="11"/>
        <v>2.96</v>
      </c>
      <c r="O12" s="18"/>
      <c r="P12" s="5">
        <f t="shared" ca="1" si="12"/>
        <v>20</v>
      </c>
      <c r="Q12" s="7">
        <f t="shared" ca="1" si="13"/>
        <v>0.16</v>
      </c>
      <c r="R12" s="5">
        <f t="shared" ca="1" si="1"/>
        <v>0</v>
      </c>
      <c r="S12" s="5">
        <f t="shared" ca="1" si="1"/>
        <v>0</v>
      </c>
      <c r="T12" s="5">
        <f t="shared" ca="1" si="1"/>
        <v>0</v>
      </c>
      <c r="U12" s="5">
        <f t="shared" ca="1" si="1"/>
        <v>0</v>
      </c>
      <c r="V12" s="5">
        <f t="shared" ca="1" si="1"/>
        <v>0</v>
      </c>
    </row>
    <row r="13" spans="1:25">
      <c r="A13" s="7">
        <f t="shared" ca="1" si="0"/>
        <v>20.7181882507243</v>
      </c>
      <c r="B13" s="7">
        <f t="shared" ca="1" si="2"/>
        <v>0.12507392956937319</v>
      </c>
      <c r="C13" s="7">
        <f t="shared" ca="1" si="3"/>
        <v>0.10618772249294761</v>
      </c>
      <c r="D13" s="7">
        <f t="shared" ca="1" si="4"/>
        <v>0.18496182015525997</v>
      </c>
      <c r="E13" s="7">
        <f t="shared" ca="1" si="5"/>
        <v>0.12060188984807799</v>
      </c>
      <c r="F13" s="7">
        <f t="shared" ca="1" si="6"/>
        <v>0.11775142261333101</v>
      </c>
      <c r="G13" s="7">
        <f t="shared" ca="1" si="7"/>
        <v>0.15567256196697637</v>
      </c>
      <c r="H13" s="5">
        <v>7</v>
      </c>
      <c r="I13" s="7">
        <f t="shared" ca="1" si="8"/>
        <v>0.10618772249294761</v>
      </c>
      <c r="J13" s="7">
        <f t="shared" ca="1" si="9"/>
        <v>20.7181882507243</v>
      </c>
      <c r="K13" s="7">
        <f t="shared" ca="1" si="10"/>
        <v>3.0754910853386095</v>
      </c>
      <c r="L13" s="7">
        <f t="shared" ca="1" si="11"/>
        <v>0.11</v>
      </c>
      <c r="M13" s="7">
        <f t="shared" ca="1" si="11"/>
        <v>20.72</v>
      </c>
      <c r="N13" s="7">
        <f t="shared" ca="1" si="11"/>
        <v>3.08</v>
      </c>
      <c r="O13" s="18"/>
      <c r="P13" s="5">
        <f t="shared" ca="1" si="12"/>
        <v>21</v>
      </c>
      <c r="Q13" s="7">
        <f t="shared" ca="1" si="13"/>
        <v>0.13</v>
      </c>
      <c r="R13" s="5">
        <f t="shared" ca="1" si="1"/>
        <v>0</v>
      </c>
      <c r="S13" s="5">
        <f t="shared" ca="1" si="1"/>
        <v>0</v>
      </c>
      <c r="T13" s="5">
        <f t="shared" ca="1" si="1"/>
        <v>0</v>
      </c>
      <c r="U13" s="5">
        <f t="shared" ca="1" si="1"/>
        <v>0</v>
      </c>
      <c r="V13" s="5">
        <f t="shared" ca="1" si="1"/>
        <v>0</v>
      </c>
    </row>
    <row r="14" spans="1:25">
      <c r="A14" s="7">
        <f t="shared" ca="1" si="0"/>
        <v>20.106532741297325</v>
      </c>
      <c r="B14" s="7">
        <f t="shared" ca="1" si="2"/>
        <v>0.12552861714065519</v>
      </c>
      <c r="C14" s="7">
        <f t="shared" ca="1" si="3"/>
        <v>0.13621842490351871</v>
      </c>
      <c r="D14" s="7">
        <f t="shared" ca="1" si="4"/>
        <v>0.12994476443514016</v>
      </c>
      <c r="E14" s="7">
        <f t="shared" ca="1" si="5"/>
        <v>0.10638389349708395</v>
      </c>
      <c r="F14" s="7">
        <f t="shared" ca="1" si="6"/>
        <v>0.12010221924901773</v>
      </c>
      <c r="G14" s="7">
        <f t="shared" ca="1" si="7"/>
        <v>0.19257473353467514</v>
      </c>
      <c r="H14">
        <v>8</v>
      </c>
      <c r="I14" s="7">
        <f t="shared" ca="1" si="8"/>
        <v>0.10638389349708395</v>
      </c>
      <c r="J14" s="7">
        <f t="shared" ca="1" si="9"/>
        <v>20.106532741297325</v>
      </c>
      <c r="K14" s="7">
        <f t="shared" ca="1" si="10"/>
        <v>2.988183627722488</v>
      </c>
      <c r="L14" s="7">
        <f t="shared" ca="1" si="11"/>
        <v>0.11</v>
      </c>
      <c r="M14" s="7">
        <f t="shared" ca="1" si="11"/>
        <v>20.11</v>
      </c>
      <c r="N14" s="7">
        <f t="shared" ca="1" si="11"/>
        <v>2.99</v>
      </c>
      <c r="O14" s="18"/>
      <c r="P14" s="5">
        <f t="shared" ca="1" si="12"/>
        <v>20</v>
      </c>
      <c r="Q14" s="7">
        <f t="shared" ca="1" si="13"/>
        <v>0.13</v>
      </c>
      <c r="R14" s="5">
        <f t="shared" ca="1" si="1"/>
        <v>0</v>
      </c>
      <c r="S14" s="5">
        <f t="shared" ca="1" si="1"/>
        <v>0</v>
      </c>
      <c r="T14" s="5">
        <f t="shared" ca="1" si="1"/>
        <v>0</v>
      </c>
      <c r="U14" s="5">
        <f t="shared" ca="1" si="1"/>
        <v>0</v>
      </c>
      <c r="V14" s="5">
        <f t="shared" ca="1" si="1"/>
        <v>0</v>
      </c>
    </row>
    <row r="15" spans="1:25">
      <c r="A15" s="7">
        <f t="shared" ca="1" si="0"/>
        <v>18.812996479615279</v>
      </c>
      <c r="B15" s="7">
        <f t="shared" ca="1" si="2"/>
        <v>0.141614274961885</v>
      </c>
      <c r="C15" s="7">
        <f t="shared" ca="1" si="3"/>
        <v>0.12203709976859338</v>
      </c>
      <c r="D15" s="7">
        <f t="shared" ca="1" si="4"/>
        <v>0.18825471187751264</v>
      </c>
      <c r="E15" s="7">
        <f t="shared" ca="1" si="5"/>
        <v>0.11772294417429727</v>
      </c>
      <c r="F15" s="7">
        <f t="shared" ca="1" si="6"/>
        <v>0.11648577634286157</v>
      </c>
      <c r="G15" s="7">
        <f t="shared" ca="1" si="7"/>
        <v>0.16244165250995116</v>
      </c>
      <c r="H15" s="5">
        <v>9</v>
      </c>
      <c r="I15" s="7">
        <f t="shared" ca="1" si="8"/>
        <v>0.11648577634286157</v>
      </c>
      <c r="J15" s="7">
        <f t="shared" ca="1" si="9"/>
        <v>18.812996479615279</v>
      </c>
      <c r="K15" s="7">
        <f t="shared" ca="1" si="10"/>
        <v>2.8087932770357686</v>
      </c>
      <c r="L15" s="7">
        <f t="shared" ca="1" si="11"/>
        <v>0.12</v>
      </c>
      <c r="M15" s="7">
        <f t="shared" ca="1" si="11"/>
        <v>18.809999999999999</v>
      </c>
      <c r="N15" s="7">
        <f t="shared" ca="1" si="11"/>
        <v>2.81</v>
      </c>
      <c r="O15" s="18"/>
      <c r="P15" s="5">
        <f t="shared" ca="1" si="12"/>
        <v>19</v>
      </c>
      <c r="Q15" s="7">
        <f t="shared" ca="1" si="13"/>
        <v>0.14000000000000001</v>
      </c>
      <c r="R15" s="5">
        <f t="shared" ca="1" si="1"/>
        <v>0</v>
      </c>
      <c r="S15" s="5">
        <f t="shared" ca="1" si="1"/>
        <v>0</v>
      </c>
      <c r="T15" s="5">
        <f t="shared" ca="1" si="1"/>
        <v>0</v>
      </c>
      <c r="U15" s="5">
        <f t="shared" ca="1" si="1"/>
        <v>0</v>
      </c>
      <c r="V15" s="5">
        <f t="shared" ca="1" si="1"/>
        <v>0</v>
      </c>
    </row>
    <row r="16" spans="1:25">
      <c r="A16" s="7">
        <f t="shared" ca="1" si="0"/>
        <v>23.159059520203797</v>
      </c>
      <c r="B16" s="7">
        <f t="shared" ca="1" si="2"/>
        <v>0.16939545065308806</v>
      </c>
      <c r="C16" s="7">
        <f t="shared" ca="1" si="3"/>
        <v>0.10950488181650014</v>
      </c>
      <c r="D16" s="7">
        <f t="shared" ca="1" si="4"/>
        <v>0.17040342851385526</v>
      </c>
      <c r="E16" s="7">
        <f t="shared" ca="1" si="5"/>
        <v>0.14248947995793226</v>
      </c>
      <c r="F16" s="7">
        <f t="shared" ca="1" si="6"/>
        <v>0.13997254441372653</v>
      </c>
      <c r="G16" s="7">
        <f t="shared" ca="1" si="7"/>
        <v>0.17887076325565612</v>
      </c>
      <c r="H16">
        <v>10</v>
      </c>
      <c r="I16" s="7">
        <f t="shared" ca="1" si="8"/>
        <v>0.10950488181650014</v>
      </c>
      <c r="J16" s="7">
        <f t="shared" ca="1" si="9"/>
        <v>23.159059520203797</v>
      </c>
      <c r="K16" s="7">
        <f t="shared" ca="1" si="10"/>
        <v>3.4385280098306508</v>
      </c>
      <c r="L16" s="7">
        <f t="shared" ca="1" si="11"/>
        <v>0.11</v>
      </c>
      <c r="M16" s="7">
        <f t="shared" ca="1" si="11"/>
        <v>23.16</v>
      </c>
      <c r="N16" s="7">
        <f t="shared" ca="1" si="11"/>
        <v>3.44</v>
      </c>
      <c r="O16" s="18"/>
      <c r="P16" s="5">
        <f t="shared" ca="1" si="12"/>
        <v>23</v>
      </c>
      <c r="Q16" s="7">
        <f t="shared" ca="1" si="13"/>
        <v>0.17</v>
      </c>
      <c r="R16" s="5">
        <f t="shared" ca="1" si="1"/>
        <v>0</v>
      </c>
      <c r="S16" s="5">
        <f t="shared" ca="1" si="1"/>
        <v>0</v>
      </c>
      <c r="T16" s="5">
        <f t="shared" ca="1" si="1"/>
        <v>0</v>
      </c>
      <c r="U16" s="5">
        <f t="shared" ca="1" si="1"/>
        <v>0</v>
      </c>
      <c r="V16" s="5">
        <f t="shared" ca="1" si="1"/>
        <v>0</v>
      </c>
      <c r="Y16">
        <v>1</v>
      </c>
    </row>
    <row r="17" spans="1:25">
      <c r="A17" s="7">
        <f t="shared" ca="1" si="0"/>
        <v>23.136908472189671</v>
      </c>
      <c r="B17" s="7">
        <f t="shared" ca="1" si="2"/>
        <v>0.11372514708150445</v>
      </c>
      <c r="C17" s="7">
        <f t="shared" ca="1" si="3"/>
        <v>0.13309044121451291</v>
      </c>
      <c r="D17" s="7">
        <f t="shared" ca="1" si="4"/>
        <v>0.11369676259920539</v>
      </c>
      <c r="E17" s="7">
        <f t="shared" ca="1" si="5"/>
        <v>0.10788360114858934</v>
      </c>
      <c r="F17" s="7">
        <f t="shared" ca="1" si="6"/>
        <v>0.14647727643513575</v>
      </c>
      <c r="G17" s="7">
        <f t="shared" ca="1" si="7"/>
        <v>0.1549326702204</v>
      </c>
      <c r="H17" s="5">
        <v>11</v>
      </c>
      <c r="I17" s="7">
        <f t="shared" ca="1" si="8"/>
        <v>0.10788360114858934</v>
      </c>
      <c r="J17" s="7">
        <f t="shared" ca="1" si="9"/>
        <v>23.136908472189671</v>
      </c>
      <c r="K17" s="7">
        <f t="shared" ca="1" si="10"/>
        <v>3.4152449101270022</v>
      </c>
      <c r="L17" s="7">
        <f t="shared" ca="1" si="11"/>
        <v>0.11</v>
      </c>
      <c r="M17" s="7">
        <f t="shared" ca="1" si="11"/>
        <v>23.14</v>
      </c>
      <c r="N17" s="7">
        <f t="shared" ca="1" si="11"/>
        <v>3.42</v>
      </c>
      <c r="O17" s="19"/>
      <c r="P17" s="5">
        <f t="shared" ca="1" si="12"/>
        <v>23</v>
      </c>
      <c r="Q17" s="7">
        <f t="shared" ca="1" si="13"/>
        <v>0.11</v>
      </c>
      <c r="R17" s="5">
        <f t="shared" ca="1" si="1"/>
        <v>0</v>
      </c>
      <c r="S17" s="5">
        <f t="shared" ca="1" si="1"/>
        <v>0</v>
      </c>
      <c r="T17" s="5">
        <f t="shared" ca="1" si="1"/>
        <v>0</v>
      </c>
      <c r="U17" s="5">
        <f t="shared" ca="1" si="1"/>
        <v>0</v>
      </c>
      <c r="V17" s="5">
        <f t="shared" ca="1" si="1"/>
        <v>0</v>
      </c>
    </row>
    <row r="18" spans="1:25">
      <c r="A18" s="7">
        <f t="shared" ca="1" si="0"/>
        <v>25.191488064531878</v>
      </c>
      <c r="B18" s="7">
        <f t="shared" ca="1" si="2"/>
        <v>0.15529020342748784</v>
      </c>
      <c r="C18" s="7">
        <f t="shared" ca="1" si="3"/>
        <v>0.10218608152686244</v>
      </c>
      <c r="D18" s="7">
        <f t="shared" ca="1" si="4"/>
        <v>0.13824513151106818</v>
      </c>
      <c r="E18" s="7">
        <f t="shared" ca="1" si="5"/>
        <v>0.10088185493454331</v>
      </c>
      <c r="F18" s="7">
        <f t="shared" ca="1" si="6"/>
        <v>0.16458385493555128</v>
      </c>
      <c r="G18" s="7">
        <f t="shared" ca="1" si="7"/>
        <v>0.14751323168199015</v>
      </c>
      <c r="H18">
        <v>12</v>
      </c>
      <c r="I18" s="7">
        <f t="shared" ca="1" si="8"/>
        <v>0.10088185493454331</v>
      </c>
      <c r="J18" s="7">
        <f t="shared" ca="1" si="9"/>
        <v>25.191488064531878</v>
      </c>
      <c r="K18" s="7">
        <f t="shared" ca="1" si="10"/>
        <v>3.7143126317927684</v>
      </c>
      <c r="L18" s="7">
        <f t="shared" ca="1" si="11"/>
        <v>0.1</v>
      </c>
      <c r="M18" s="7">
        <f t="shared" ca="1" si="11"/>
        <v>25.19</v>
      </c>
      <c r="N18" s="7">
        <f t="shared" ca="1" si="11"/>
        <v>3.71</v>
      </c>
      <c r="O18" s="19"/>
      <c r="P18" s="5">
        <f t="shared" ca="1" si="12"/>
        <v>25</v>
      </c>
      <c r="Q18" s="7">
        <f t="shared" ca="1" si="13"/>
        <v>0.16</v>
      </c>
      <c r="R18" s="5">
        <f t="shared" ca="1" si="1"/>
        <v>0</v>
      </c>
      <c r="S18" s="5">
        <f t="shared" ca="1" si="1"/>
        <v>0</v>
      </c>
      <c r="T18" s="5">
        <f t="shared" ca="1" si="1"/>
        <v>0</v>
      </c>
      <c r="U18" s="5">
        <f t="shared" ca="1" si="1"/>
        <v>0</v>
      </c>
      <c r="V18" s="5">
        <f t="shared" ca="1" si="1"/>
        <v>0</v>
      </c>
    </row>
    <row r="19" spans="1:25">
      <c r="A19" s="7">
        <f t="shared" ca="1" si="0"/>
        <v>19.393715820696769</v>
      </c>
      <c r="B19" s="7">
        <f t="shared" ca="1" si="2"/>
        <v>0.12129602619664558</v>
      </c>
      <c r="C19" s="7">
        <f t="shared" ca="1" si="3"/>
        <v>0.11486086362335317</v>
      </c>
      <c r="D19" s="7">
        <f t="shared" ca="1" si="4"/>
        <v>0.14367432362485963</v>
      </c>
      <c r="E19" s="7">
        <f t="shared" ca="1" si="5"/>
        <v>0.1282412782715234</v>
      </c>
      <c r="F19" s="7">
        <f t="shared" ca="1" si="6"/>
        <v>0.11983282413911027</v>
      </c>
      <c r="G19" s="7">
        <f t="shared" ca="1" si="7"/>
        <v>0.10302352519776523</v>
      </c>
      <c r="H19" s="5">
        <v>13</v>
      </c>
      <c r="I19" s="7">
        <f t="shared" ca="1" si="8"/>
        <v>0.10302352519776523</v>
      </c>
      <c r="J19" s="7">
        <f t="shared" ca="1" si="9"/>
        <v>19.393715820696769</v>
      </c>
      <c r="K19" s="7">
        <f t="shared" ca="1" si="10"/>
        <v>2.8749492373928613</v>
      </c>
      <c r="L19" s="7">
        <f t="shared" ca="1" si="11"/>
        <v>0.1</v>
      </c>
      <c r="M19" s="7">
        <f t="shared" ca="1" si="11"/>
        <v>19.39</v>
      </c>
      <c r="N19" s="7">
        <f t="shared" ca="1" si="11"/>
        <v>2.87</v>
      </c>
      <c r="O19" s="19"/>
      <c r="P19" s="5">
        <f t="shared" ca="1" si="12"/>
        <v>19</v>
      </c>
      <c r="Q19" s="7">
        <f t="shared" ca="1" si="13"/>
        <v>0.12</v>
      </c>
      <c r="R19" s="5">
        <f t="shared" ca="1" si="1"/>
        <v>0</v>
      </c>
      <c r="S19" s="5">
        <f t="shared" ca="1" si="1"/>
        <v>0</v>
      </c>
      <c r="T19" s="5">
        <f t="shared" ca="1" si="1"/>
        <v>0</v>
      </c>
      <c r="U19" s="5">
        <f t="shared" ca="1" si="1"/>
        <v>0</v>
      </c>
      <c r="V19" s="5">
        <f t="shared" ca="1" si="1"/>
        <v>0</v>
      </c>
    </row>
    <row r="20" spans="1:25">
      <c r="A20" s="7">
        <f t="shared" ca="1" si="0"/>
        <v>18.806909424590206</v>
      </c>
      <c r="B20" s="7">
        <f t="shared" ca="1" si="2"/>
        <v>0.12247608136503574</v>
      </c>
      <c r="C20" s="7">
        <f t="shared" ca="1" si="3"/>
        <v>0.1310622908676653</v>
      </c>
      <c r="D20" s="7">
        <f t="shared" ca="1" si="4"/>
        <v>0.15356523778944933</v>
      </c>
      <c r="E20" s="7">
        <f t="shared" ca="1" si="5"/>
        <v>0.13416648741048925</v>
      </c>
      <c r="F20" s="7">
        <f t="shared" ca="1" si="6"/>
        <v>0.10833396164247558</v>
      </c>
      <c r="G20" s="7">
        <f t="shared" ca="1" si="7"/>
        <v>0.19230763122089067</v>
      </c>
      <c r="H20">
        <v>14</v>
      </c>
      <c r="I20" s="7">
        <f t="shared" ca="1" si="8"/>
        <v>0.10833396164247558</v>
      </c>
      <c r="J20" s="7">
        <f t="shared" ca="1" si="9"/>
        <v>18.806909424590206</v>
      </c>
      <c r="K20" s="7">
        <f t="shared" ca="1" si="10"/>
        <v>2.8069744449837448</v>
      </c>
      <c r="L20" s="7">
        <f t="shared" ca="1" si="11"/>
        <v>0.11</v>
      </c>
      <c r="M20" s="7">
        <f t="shared" ca="1" si="11"/>
        <v>18.809999999999999</v>
      </c>
      <c r="N20" s="7">
        <f t="shared" ca="1" si="11"/>
        <v>2.81</v>
      </c>
      <c r="O20" s="19"/>
      <c r="P20" s="5">
        <f t="shared" ca="1" si="12"/>
        <v>19</v>
      </c>
      <c r="Q20" s="7">
        <f t="shared" ca="1" si="13"/>
        <v>0.12</v>
      </c>
      <c r="R20" s="5">
        <f t="shared" ca="1" si="1"/>
        <v>0</v>
      </c>
      <c r="S20" s="5">
        <f t="shared" ca="1" si="1"/>
        <v>0</v>
      </c>
      <c r="T20" s="5">
        <f t="shared" ca="1" si="1"/>
        <v>0</v>
      </c>
      <c r="U20" s="5">
        <f t="shared" ca="1" si="1"/>
        <v>0</v>
      </c>
      <c r="V20" s="5">
        <f t="shared" ca="1" si="1"/>
        <v>0</v>
      </c>
    </row>
    <row r="21" spans="1:25">
      <c r="A21" s="7">
        <f t="shared" ca="1" si="0"/>
        <v>18.470188640472351</v>
      </c>
      <c r="B21" s="7">
        <f t="shared" ca="1" si="2"/>
        <v>0.11718310225222478</v>
      </c>
      <c r="C21" s="7">
        <f t="shared" ca="1" si="3"/>
        <v>0.11108060427128146</v>
      </c>
      <c r="D21" s="7">
        <f t="shared" ca="1" si="4"/>
        <v>0.11867095467109445</v>
      </c>
      <c r="E21" s="7">
        <f t="shared" ca="1" si="5"/>
        <v>0.11516879135736831</v>
      </c>
      <c r="F21" s="7">
        <f t="shared" ca="1" si="6"/>
        <v>0.1138577577989081</v>
      </c>
      <c r="G21" s="7">
        <f t="shared" ca="1" si="7"/>
        <v>0.1857649461398026</v>
      </c>
      <c r="H21" s="5">
        <v>15</v>
      </c>
      <c r="I21" s="7">
        <f t="shared" ca="1" si="8"/>
        <v>0.11108060427128146</v>
      </c>
      <c r="J21" s="7">
        <f t="shared" ca="1" si="9"/>
        <v>18.470188640472351</v>
      </c>
      <c r="K21" s="7">
        <f t="shared" ca="1" si="10"/>
        <v>2.7474163995661476</v>
      </c>
      <c r="L21" s="7">
        <f t="shared" ca="1" si="11"/>
        <v>0.11</v>
      </c>
      <c r="M21" s="7">
        <f t="shared" ca="1" si="11"/>
        <v>18.47</v>
      </c>
      <c r="N21" s="7">
        <f t="shared" ca="1" si="11"/>
        <v>2.75</v>
      </c>
      <c r="O21" s="19"/>
      <c r="P21" s="5">
        <f t="shared" ca="1" si="12"/>
        <v>18</v>
      </c>
      <c r="Q21" s="5">
        <f t="shared" ca="1" si="1"/>
        <v>0</v>
      </c>
      <c r="R21" s="5">
        <f t="shared" ca="1" si="1"/>
        <v>0</v>
      </c>
      <c r="S21" s="5">
        <f t="shared" ca="1" si="1"/>
        <v>0</v>
      </c>
      <c r="T21" s="5">
        <f t="shared" ca="1" si="1"/>
        <v>0</v>
      </c>
      <c r="U21" s="5">
        <f t="shared" ca="1" si="1"/>
        <v>0</v>
      </c>
      <c r="V21" s="5">
        <f t="shared" ca="1" si="1"/>
        <v>0</v>
      </c>
    </row>
    <row r="22" spans="1:25">
      <c r="A22" s="7">
        <f t="shared" ca="1" si="0"/>
        <v>23.929752088454673</v>
      </c>
      <c r="B22" s="7">
        <f t="shared" ca="1" si="2"/>
        <v>0.14655125445285036</v>
      </c>
      <c r="C22" s="7">
        <f t="shared" ca="1" si="3"/>
        <v>0.13357537647204715</v>
      </c>
      <c r="D22" s="7">
        <f t="shared" ca="1" si="4"/>
        <v>0.11683706347719688</v>
      </c>
      <c r="E22" s="7">
        <f t="shared" ca="1" si="5"/>
        <v>0.14766912879514354</v>
      </c>
      <c r="F22" s="7">
        <f t="shared" ca="1" si="6"/>
        <v>0.16277790146739052</v>
      </c>
      <c r="G22" s="7">
        <f t="shared" ca="1" si="7"/>
        <v>0.10663016796061561</v>
      </c>
      <c r="H22">
        <v>16</v>
      </c>
      <c r="I22" s="7">
        <f t="shared" ca="1" si="8"/>
        <v>0.10663016796061561</v>
      </c>
      <c r="J22" s="7">
        <f t="shared" ca="1" si="9"/>
        <v>23.929752088454673</v>
      </c>
      <c r="K22" s="7">
        <f t="shared" ca="1" si="10"/>
        <v>3.5348275687257025</v>
      </c>
      <c r="L22" s="7">
        <f t="shared" ca="1" si="11"/>
        <v>0.11</v>
      </c>
      <c r="M22" s="7">
        <f t="shared" ca="1" si="11"/>
        <v>23.93</v>
      </c>
      <c r="N22" s="7">
        <f t="shared" ca="1" si="11"/>
        <v>3.53</v>
      </c>
      <c r="O22" s="20"/>
      <c r="P22" s="5">
        <f t="shared" ca="1" si="12"/>
        <v>24</v>
      </c>
      <c r="Q22" s="5">
        <f t="shared" ca="1" si="1"/>
        <v>0</v>
      </c>
      <c r="R22" s="5">
        <f t="shared" ca="1" si="1"/>
        <v>0</v>
      </c>
      <c r="S22" s="5">
        <f t="shared" ca="1" si="1"/>
        <v>0</v>
      </c>
      <c r="T22" s="5">
        <f t="shared" ca="1" si="1"/>
        <v>0</v>
      </c>
      <c r="U22" s="5">
        <f t="shared" ca="1" si="1"/>
        <v>0</v>
      </c>
      <c r="V22" s="5">
        <f t="shared" ca="1" si="1"/>
        <v>0</v>
      </c>
    </row>
    <row r="23" spans="1:25">
      <c r="A23" s="7">
        <f t="shared" ca="1" si="0"/>
        <v>23.726890139266605</v>
      </c>
      <c r="B23" s="7">
        <f t="shared" ca="1" si="2"/>
        <v>0.17556783124004915</v>
      </c>
      <c r="C23" s="7">
        <f t="shared" ca="1" si="3"/>
        <v>0.11581163750294063</v>
      </c>
      <c r="D23" s="7">
        <f t="shared" ca="1" si="4"/>
        <v>0.17974576101255663</v>
      </c>
      <c r="E23" s="7">
        <f t="shared" ca="1" si="5"/>
        <v>0.1223560415423246</v>
      </c>
      <c r="F23" s="7">
        <f t="shared" ca="1" si="6"/>
        <v>0.12904291035160448</v>
      </c>
      <c r="G23" s="7">
        <f t="shared" ca="1" si="7"/>
        <v>0.17564384257516802</v>
      </c>
      <c r="H23" s="5">
        <v>17</v>
      </c>
      <c r="I23" s="7">
        <f t="shared" ca="1" si="8"/>
        <v>0.11581163750294063</v>
      </c>
      <c r="J23" s="7">
        <f t="shared" ca="1" si="9"/>
        <v>23.726890139266605</v>
      </c>
      <c r="K23" s="7">
        <f t="shared" ca="1" si="10"/>
        <v>3.5178654519273214</v>
      </c>
      <c r="L23" s="7">
        <f t="shared" ca="1" si="11"/>
        <v>0.12</v>
      </c>
      <c r="M23" s="7">
        <f t="shared" ca="1" si="11"/>
        <v>23.73</v>
      </c>
      <c r="N23" s="7">
        <f t="shared" ca="1" si="11"/>
        <v>3.52</v>
      </c>
      <c r="O23" s="20"/>
      <c r="P23" s="5">
        <f t="shared" ca="1" si="12"/>
        <v>24</v>
      </c>
      <c r="Q23" s="5">
        <f t="shared" ref="Q23:V36" ca="1" si="14">ROUND(B23,-1)</f>
        <v>0</v>
      </c>
      <c r="R23" s="5">
        <f t="shared" ca="1" si="14"/>
        <v>0</v>
      </c>
      <c r="S23" s="5">
        <f t="shared" ca="1" si="14"/>
        <v>0</v>
      </c>
      <c r="T23" s="5">
        <f t="shared" ca="1" si="14"/>
        <v>0</v>
      </c>
      <c r="U23" s="5">
        <f t="shared" ca="1" si="14"/>
        <v>0</v>
      </c>
      <c r="V23" s="5">
        <f t="shared" ca="1" si="14"/>
        <v>0</v>
      </c>
    </row>
    <row r="24" spans="1:25">
      <c r="A24" s="7">
        <f t="shared" ca="1" si="0"/>
        <v>20.27207926382972</v>
      </c>
      <c r="B24" s="7">
        <f t="shared" ca="1" si="2"/>
        <v>0.12310539236947464</v>
      </c>
      <c r="C24" s="7">
        <f t="shared" ca="1" si="3"/>
        <v>0.10538601318266072</v>
      </c>
      <c r="D24" s="7">
        <f t="shared" ca="1" si="4"/>
        <v>0.11007648703213957</v>
      </c>
      <c r="E24" s="7">
        <f t="shared" ca="1" si="5"/>
        <v>0.11584530053875673</v>
      </c>
      <c r="F24" s="7">
        <f t="shared" ca="1" si="6"/>
        <v>0.10080226126468353</v>
      </c>
      <c r="G24" s="7">
        <f t="shared" ca="1" si="7"/>
        <v>0.1802645137560015</v>
      </c>
      <c r="H24">
        <v>18</v>
      </c>
      <c r="I24" s="7">
        <f t="shared" ca="1" si="8"/>
        <v>0.10080226126468353</v>
      </c>
      <c r="J24" s="7">
        <f t="shared" ca="1" si="9"/>
        <v>20.27207926382972</v>
      </c>
      <c r="K24" s="7">
        <f t="shared" ca="1" si="10"/>
        <v>3.0010798902819187</v>
      </c>
      <c r="L24" s="7">
        <f t="shared" ca="1" si="11"/>
        <v>0.1</v>
      </c>
      <c r="M24" s="7">
        <f t="shared" ca="1" si="11"/>
        <v>20.27</v>
      </c>
      <c r="N24" s="7">
        <f t="shared" ca="1" si="11"/>
        <v>3</v>
      </c>
      <c r="O24" s="20"/>
      <c r="P24" s="5">
        <f t="shared" ca="1" si="12"/>
        <v>20</v>
      </c>
      <c r="Q24" s="5">
        <f t="shared" ca="1" si="14"/>
        <v>0</v>
      </c>
      <c r="R24" s="5">
        <f t="shared" ca="1" si="14"/>
        <v>0</v>
      </c>
      <c r="S24" s="5">
        <f t="shared" ca="1" si="14"/>
        <v>0</v>
      </c>
      <c r="T24" s="5">
        <f t="shared" ca="1" si="14"/>
        <v>0</v>
      </c>
      <c r="U24" s="5">
        <f t="shared" ca="1" si="14"/>
        <v>0</v>
      </c>
      <c r="V24" s="5">
        <f t="shared" ca="1" si="14"/>
        <v>0</v>
      </c>
    </row>
    <row r="25" spans="1:25">
      <c r="A25" s="7">
        <f t="shared" ca="1" si="0"/>
        <v>18.142758159668102</v>
      </c>
      <c r="B25" s="7">
        <f t="shared" ca="1" si="2"/>
        <v>0.1513674371155482</v>
      </c>
      <c r="C25" s="7">
        <f t="shared" ca="1" si="3"/>
        <v>0.11599762491817311</v>
      </c>
      <c r="D25" s="7">
        <f t="shared" ca="1" si="4"/>
        <v>0.10393562998146638</v>
      </c>
      <c r="E25" s="7">
        <f t="shared" ca="1" si="5"/>
        <v>0.14006870804465077</v>
      </c>
      <c r="F25" s="7">
        <f t="shared" ca="1" si="6"/>
        <v>0.11673657313697072</v>
      </c>
      <c r="G25" s="7">
        <f t="shared" ca="1" si="7"/>
        <v>0.11719314422277409</v>
      </c>
      <c r="H25" s="5">
        <v>19</v>
      </c>
      <c r="I25" s="7">
        <f t="shared" ca="1" si="8"/>
        <v>0.10393562998146638</v>
      </c>
      <c r="J25" s="7">
        <f t="shared" ca="1" si="9"/>
        <v>18.142758159668102</v>
      </c>
      <c r="K25" s="7">
        <f t="shared" ca="1" si="10"/>
        <v>2.6982938967268129</v>
      </c>
      <c r="L25" s="7">
        <f t="shared" ca="1" si="11"/>
        <v>0.1</v>
      </c>
      <c r="M25" s="7">
        <f t="shared" ca="1" si="11"/>
        <v>18.14</v>
      </c>
      <c r="N25" s="7">
        <f t="shared" ca="1" si="11"/>
        <v>2.7</v>
      </c>
      <c r="O25" s="20"/>
      <c r="P25" s="5">
        <f t="shared" ca="1" si="12"/>
        <v>18</v>
      </c>
      <c r="Q25" s="5">
        <f t="shared" ca="1" si="14"/>
        <v>0</v>
      </c>
      <c r="R25" s="5">
        <f t="shared" ca="1" si="14"/>
        <v>0</v>
      </c>
      <c r="S25" s="5">
        <f t="shared" ca="1" si="14"/>
        <v>0</v>
      </c>
      <c r="T25" s="5">
        <f t="shared" ca="1" si="14"/>
        <v>0</v>
      </c>
      <c r="U25" s="5">
        <f t="shared" ca="1" si="14"/>
        <v>0</v>
      </c>
      <c r="V25" s="5">
        <f t="shared" ca="1" si="14"/>
        <v>0</v>
      </c>
    </row>
    <row r="26" spans="1:25">
      <c r="A26" s="7">
        <f t="shared" ca="1" si="0"/>
        <v>23.324326650101273</v>
      </c>
      <c r="B26" s="7">
        <f t="shared" ca="1" si="2"/>
        <v>0.12272812382469175</v>
      </c>
      <c r="C26" s="7">
        <f t="shared" ca="1" si="3"/>
        <v>0.13508860643948345</v>
      </c>
      <c r="D26" s="7">
        <f t="shared" ca="1" si="4"/>
        <v>0.13124642322227748</v>
      </c>
      <c r="E26" s="7">
        <f t="shared" ca="1" si="5"/>
        <v>0.10684183450229542</v>
      </c>
      <c r="F26" s="7">
        <f t="shared" ca="1" si="6"/>
        <v>0.14620629669752239</v>
      </c>
      <c r="G26" s="7">
        <f t="shared" ca="1" si="7"/>
        <v>0.10232462128203906</v>
      </c>
      <c r="H26">
        <v>20</v>
      </c>
      <c r="I26" s="7">
        <f t="shared" ca="1" si="8"/>
        <v>0.10232462128203906</v>
      </c>
      <c r="J26" s="7">
        <f t="shared" ca="1" si="9"/>
        <v>23.324326650101273</v>
      </c>
      <c r="K26" s="7">
        <f t="shared" ca="1" si="10"/>
        <v>3.4383946508670831</v>
      </c>
      <c r="L26" s="7">
        <f t="shared" ca="1" si="11"/>
        <v>0.1</v>
      </c>
      <c r="M26" s="7">
        <f t="shared" ca="1" si="11"/>
        <v>23.32</v>
      </c>
      <c r="N26" s="7">
        <f t="shared" ca="1" si="11"/>
        <v>3.44</v>
      </c>
      <c r="O26" s="20"/>
      <c r="P26" s="5">
        <f t="shared" ca="1" si="12"/>
        <v>23</v>
      </c>
      <c r="Q26" s="5">
        <f t="shared" ca="1" si="14"/>
        <v>0</v>
      </c>
      <c r="R26" s="5">
        <f t="shared" ca="1" si="14"/>
        <v>0</v>
      </c>
      <c r="S26" s="5">
        <f t="shared" ca="1" si="14"/>
        <v>0</v>
      </c>
      <c r="T26" s="5">
        <f t="shared" ca="1" si="14"/>
        <v>0</v>
      </c>
      <c r="U26" s="5">
        <f t="shared" ca="1" si="14"/>
        <v>0</v>
      </c>
      <c r="V26" s="5">
        <f t="shared" ca="1" si="14"/>
        <v>0</v>
      </c>
    </row>
    <row r="27" spans="1:25">
      <c r="A27" s="7">
        <f t="shared" ca="1" si="0"/>
        <v>19.730105968512113</v>
      </c>
      <c r="B27" s="7">
        <f t="shared" ca="1" si="2"/>
        <v>0.13821094474145168</v>
      </c>
      <c r="C27" s="7">
        <f t="shared" ca="1" si="3"/>
        <v>0.12290765817679271</v>
      </c>
      <c r="D27" s="7">
        <f t="shared" ca="1" si="4"/>
        <v>0.10185345358635904</v>
      </c>
      <c r="E27" s="7">
        <f t="shared" ca="1" si="5"/>
        <v>0.14812134144519537</v>
      </c>
      <c r="F27" s="7">
        <f t="shared" ca="1" si="6"/>
        <v>0.13717746931643568</v>
      </c>
      <c r="G27" s="7">
        <f t="shared" ca="1" si="7"/>
        <v>0.11524985281654347</v>
      </c>
      <c r="H27" s="5">
        <v>21</v>
      </c>
      <c r="I27" s="7">
        <f t="shared" ca="1" si="8"/>
        <v>0.10185345358635904</v>
      </c>
      <c r="J27" s="7">
        <f t="shared" ca="1" si="9"/>
        <v>19.730105968512113</v>
      </c>
      <c r="K27" s="7">
        <f t="shared" ca="1" si="10"/>
        <v>2.9276609555135553</v>
      </c>
      <c r="L27" s="7">
        <f t="shared" ca="1" si="11"/>
        <v>0.1</v>
      </c>
      <c r="M27" s="7">
        <f t="shared" ca="1" si="11"/>
        <v>19.73</v>
      </c>
      <c r="N27" s="7">
        <f t="shared" ca="1" si="11"/>
        <v>2.93</v>
      </c>
      <c r="O27" s="5"/>
      <c r="P27" s="5">
        <f t="shared" ca="1" si="12"/>
        <v>20</v>
      </c>
      <c r="Q27" s="5">
        <f t="shared" ca="1" si="14"/>
        <v>0</v>
      </c>
      <c r="R27" s="5">
        <f t="shared" ca="1" si="14"/>
        <v>0</v>
      </c>
      <c r="S27" s="5">
        <f t="shared" ca="1" si="14"/>
        <v>0</v>
      </c>
      <c r="T27" s="5">
        <f t="shared" ca="1" si="14"/>
        <v>0</v>
      </c>
      <c r="U27" s="5">
        <f t="shared" ca="1" si="14"/>
        <v>0</v>
      </c>
      <c r="V27" s="5">
        <f t="shared" ca="1" si="14"/>
        <v>0</v>
      </c>
    </row>
    <row r="28" spans="1:25">
      <c r="A28" s="7">
        <f t="shared" ca="1" si="0"/>
        <v>22.781064231399238</v>
      </c>
      <c r="B28" s="7">
        <f t="shared" ca="1" si="2"/>
        <v>0.12621993255034372</v>
      </c>
      <c r="C28" s="7">
        <f t="shared" ca="1" si="3"/>
        <v>0.10236333735751887</v>
      </c>
      <c r="D28" s="7">
        <f t="shared" ca="1" si="4"/>
        <v>0.18791007358914663</v>
      </c>
      <c r="E28" s="7">
        <f t="shared" ca="1" si="5"/>
        <v>0.13176092671096751</v>
      </c>
      <c r="F28" s="7">
        <f t="shared" ca="1" si="6"/>
        <v>0.11238920404718018</v>
      </c>
      <c r="G28" s="7">
        <f t="shared" ca="1" si="7"/>
        <v>0.16330143207575309</v>
      </c>
      <c r="H28">
        <v>22</v>
      </c>
      <c r="I28" s="7">
        <f t="shared" ca="1" si="8"/>
        <v>0.10236333735751887</v>
      </c>
      <c r="J28" s="7">
        <f t="shared" ca="1" si="9"/>
        <v>22.781064231399238</v>
      </c>
      <c r="K28" s="7">
        <f t="shared" ca="1" si="10"/>
        <v>3.3721441625328787</v>
      </c>
      <c r="L28" s="7">
        <f t="shared" ca="1" si="11"/>
        <v>0.1</v>
      </c>
      <c r="M28" s="7">
        <f t="shared" ca="1" si="11"/>
        <v>22.78</v>
      </c>
      <c r="N28" s="7">
        <f t="shared" ca="1" si="11"/>
        <v>3.37</v>
      </c>
      <c r="O28" s="5"/>
      <c r="P28" s="5">
        <f t="shared" ca="1" si="12"/>
        <v>23</v>
      </c>
      <c r="Q28" s="5">
        <f t="shared" ca="1" si="14"/>
        <v>0</v>
      </c>
      <c r="R28" s="5">
        <f t="shared" ca="1" si="14"/>
        <v>0</v>
      </c>
      <c r="S28" s="5">
        <f t="shared" ca="1" si="14"/>
        <v>0</v>
      </c>
      <c r="T28" s="5">
        <f t="shared" ca="1" si="14"/>
        <v>0</v>
      </c>
      <c r="U28" s="5">
        <f t="shared" ca="1" si="14"/>
        <v>0</v>
      </c>
      <c r="V28" s="5">
        <f t="shared" ca="1" si="14"/>
        <v>0</v>
      </c>
    </row>
    <row r="29" spans="1:25">
      <c r="A29" s="7">
        <f t="shared" ca="1" si="0"/>
        <v>23.855515141757159</v>
      </c>
      <c r="B29" s="7">
        <f t="shared" ca="1" si="2"/>
        <v>0.1336819077604495</v>
      </c>
      <c r="C29" s="7">
        <f t="shared" ca="1" si="3"/>
        <v>0.10266688209449623</v>
      </c>
      <c r="D29" s="7">
        <f t="shared" ca="1" si="4"/>
        <v>0.15765004798493831</v>
      </c>
      <c r="E29" s="7">
        <f t="shared" ca="1" si="5"/>
        <v>0.14223818630000909</v>
      </c>
      <c r="F29" s="7">
        <f t="shared" ca="1" si="6"/>
        <v>0.12377792372972191</v>
      </c>
      <c r="G29" s="7">
        <f t="shared" ca="1" si="7"/>
        <v>0.14155200360024744</v>
      </c>
      <c r="H29" s="5">
        <v>23</v>
      </c>
      <c r="I29" s="7">
        <f t="shared" ca="1" si="8"/>
        <v>0.10266688209449623</v>
      </c>
      <c r="J29" s="7">
        <f t="shared" ca="1" si="9"/>
        <v>23.855515141757159</v>
      </c>
      <c r="K29" s="7">
        <f t="shared" ca="1" si="10"/>
        <v>3.5224402990324317</v>
      </c>
      <c r="L29" s="7">
        <f t="shared" ca="1" si="11"/>
        <v>0.1</v>
      </c>
      <c r="M29" s="7">
        <f t="shared" ca="1" si="11"/>
        <v>23.86</v>
      </c>
      <c r="N29" s="7">
        <f t="shared" ca="1" si="11"/>
        <v>3.52</v>
      </c>
      <c r="O29" s="5"/>
      <c r="P29" s="5">
        <f t="shared" ca="1" si="12"/>
        <v>24</v>
      </c>
      <c r="Q29" s="5">
        <f t="shared" ca="1" si="14"/>
        <v>0</v>
      </c>
      <c r="R29" s="5">
        <f t="shared" ca="1" si="14"/>
        <v>0</v>
      </c>
      <c r="S29" s="5">
        <f t="shared" ca="1" si="14"/>
        <v>0</v>
      </c>
      <c r="T29" s="5">
        <f t="shared" ca="1" si="14"/>
        <v>0</v>
      </c>
      <c r="U29" s="5">
        <f t="shared" ca="1" si="14"/>
        <v>0</v>
      </c>
      <c r="V29" s="5">
        <f t="shared" ca="1" si="14"/>
        <v>0</v>
      </c>
    </row>
    <row r="30" spans="1:25">
      <c r="A30" s="7">
        <f t="shared" ca="1" si="0"/>
        <v>20.261837520036416</v>
      </c>
      <c r="B30" s="7">
        <f t="shared" ca="1" si="2"/>
        <v>0.17092700336176822</v>
      </c>
      <c r="C30" s="7">
        <f t="shared" ca="1" si="3"/>
        <v>0.13925081224344033</v>
      </c>
      <c r="D30" s="7">
        <f t="shared" ca="1" si="4"/>
        <v>0.16175600094456655</v>
      </c>
      <c r="E30" s="7">
        <f t="shared" ca="1" si="5"/>
        <v>0.14610049077690748</v>
      </c>
      <c r="F30" s="7">
        <f t="shared" ca="1" si="6"/>
        <v>0.14459591222360929</v>
      </c>
      <c r="G30" s="7">
        <f t="shared" ca="1" si="7"/>
        <v>0.16900658560844936</v>
      </c>
      <c r="H30">
        <v>24</v>
      </c>
      <c r="I30" s="7">
        <f t="shared" ca="1" si="8"/>
        <v>0.13925081224344033</v>
      </c>
      <c r="J30" s="7">
        <f t="shared" ca="1" si="9"/>
        <v>20.261837520036416</v>
      </c>
      <c r="K30" s="7">
        <f t="shared" ca="1" si="10"/>
        <v>3.0276391893135934</v>
      </c>
      <c r="L30" s="7">
        <f t="shared" ca="1" si="11"/>
        <v>0.14000000000000001</v>
      </c>
      <c r="M30" s="7">
        <f t="shared" ca="1" si="11"/>
        <v>20.260000000000002</v>
      </c>
      <c r="N30" s="7">
        <f t="shared" ca="1" si="11"/>
        <v>3.03</v>
      </c>
      <c r="O30" s="5"/>
      <c r="P30" s="5">
        <f t="shared" ca="1" si="12"/>
        <v>20</v>
      </c>
      <c r="Q30" s="5">
        <f t="shared" ca="1" si="14"/>
        <v>0</v>
      </c>
      <c r="R30" s="5">
        <f t="shared" ca="1" si="14"/>
        <v>0</v>
      </c>
      <c r="S30" s="5">
        <f t="shared" ca="1" si="14"/>
        <v>0</v>
      </c>
      <c r="T30" s="5">
        <f t="shared" ca="1" si="14"/>
        <v>0</v>
      </c>
      <c r="U30" s="5">
        <f t="shared" ca="1" si="14"/>
        <v>0</v>
      </c>
      <c r="V30" s="5">
        <f t="shared" ca="1" si="14"/>
        <v>0</v>
      </c>
    </row>
    <row r="31" spans="1:25">
      <c r="A31" s="7">
        <f t="shared" ca="1" si="0"/>
        <v>21.996216836734128</v>
      </c>
      <c r="B31" s="7">
        <f t="shared" ca="1" si="2"/>
        <v>0.10102915151227872</v>
      </c>
      <c r="C31" s="7">
        <f t="shared" ca="1" si="3"/>
        <v>0.13757592571328156</v>
      </c>
      <c r="D31" s="7">
        <f t="shared" ca="1" si="4"/>
        <v>0.14702370461945657</v>
      </c>
      <c r="E31" s="7">
        <f t="shared" ca="1" si="5"/>
        <v>0.11139724345789187</v>
      </c>
      <c r="F31" s="7">
        <f t="shared" ca="1" si="6"/>
        <v>0.15860355954609828</v>
      </c>
      <c r="G31" s="7">
        <f t="shared" ca="1" si="7"/>
        <v>0.13417766872936682</v>
      </c>
      <c r="H31" s="5">
        <v>25</v>
      </c>
      <c r="I31" s="7">
        <f t="shared" ca="1" si="8"/>
        <v>0.10102915151227872</v>
      </c>
      <c r="J31" s="7">
        <f t="shared" ca="1" si="9"/>
        <v>21.996216836734128</v>
      </c>
      <c r="K31" s="7">
        <f t="shared" ca="1" si="10"/>
        <v>3.2551462986160717</v>
      </c>
      <c r="L31" s="7">
        <f t="shared" ca="1" si="11"/>
        <v>0.1</v>
      </c>
      <c r="M31" s="7">
        <f t="shared" ca="1" si="11"/>
        <v>22</v>
      </c>
      <c r="N31" s="7">
        <f t="shared" ca="1" si="11"/>
        <v>3.26</v>
      </c>
      <c r="O31" s="5"/>
      <c r="P31" s="5">
        <f t="shared" ca="1" si="12"/>
        <v>22</v>
      </c>
      <c r="Q31" s="5">
        <f t="shared" ca="1" si="14"/>
        <v>0</v>
      </c>
      <c r="R31" s="5">
        <f t="shared" ca="1" si="14"/>
        <v>0</v>
      </c>
      <c r="S31" s="5">
        <f t="shared" ca="1" si="14"/>
        <v>0</v>
      </c>
      <c r="T31" s="5">
        <f t="shared" ca="1" si="14"/>
        <v>0</v>
      </c>
      <c r="U31" s="5">
        <f t="shared" ca="1" si="14"/>
        <v>0</v>
      </c>
      <c r="V31" s="5">
        <f t="shared" ca="1" si="14"/>
        <v>0</v>
      </c>
      <c r="Y31">
        <v>1</v>
      </c>
    </row>
    <row r="32" spans="1:25">
      <c r="A32" s="7">
        <f t="shared" ca="1" si="0"/>
        <v>19.697809524820769</v>
      </c>
      <c r="B32" s="7">
        <f t="shared" ca="1" si="2"/>
        <v>0.14600513755296973</v>
      </c>
      <c r="C32" s="7">
        <f t="shared" ca="1" si="3"/>
        <v>0.13038619764979711</v>
      </c>
      <c r="D32" s="7">
        <f t="shared" ca="1" si="4"/>
        <v>0.17466171225905797</v>
      </c>
      <c r="E32" s="7">
        <f t="shared" ca="1" si="5"/>
        <v>0.13445724072777213</v>
      </c>
      <c r="F32" s="7">
        <f t="shared" ca="1" si="6"/>
        <v>0.14540201835870467</v>
      </c>
      <c r="G32" s="7">
        <f t="shared" ca="1" si="7"/>
        <v>0.19398317893235473</v>
      </c>
      <c r="H32">
        <v>26</v>
      </c>
      <c r="I32" s="7">
        <f t="shared" ca="1" si="8"/>
        <v>0.13038619764979711</v>
      </c>
      <c r="J32" s="7">
        <f t="shared" ca="1" si="9"/>
        <v>19.697809524820769</v>
      </c>
      <c r="K32" s="7">
        <f t="shared" ca="1" si="10"/>
        <v>2.9461007157573471</v>
      </c>
      <c r="L32" s="7">
        <f t="shared" ca="1" si="11"/>
        <v>0.13</v>
      </c>
      <c r="M32" s="7">
        <f t="shared" ca="1" si="11"/>
        <v>19.7</v>
      </c>
      <c r="N32" s="7">
        <f t="shared" ca="1" si="11"/>
        <v>2.95</v>
      </c>
      <c r="O32" s="5"/>
      <c r="P32" s="5">
        <f t="shared" ca="1" si="12"/>
        <v>20</v>
      </c>
      <c r="Q32" s="5">
        <f t="shared" ca="1" si="14"/>
        <v>0</v>
      </c>
      <c r="R32" s="5">
        <f t="shared" ca="1" si="14"/>
        <v>0</v>
      </c>
      <c r="S32" s="5">
        <f t="shared" ca="1" si="14"/>
        <v>0</v>
      </c>
      <c r="T32" s="5">
        <f t="shared" ca="1" si="14"/>
        <v>0</v>
      </c>
      <c r="U32" s="5">
        <f t="shared" ca="1" si="14"/>
        <v>0</v>
      </c>
      <c r="V32" s="5">
        <f t="shared" ca="1" si="14"/>
        <v>0</v>
      </c>
    </row>
    <row r="33" spans="1:22">
      <c r="A33" s="7">
        <f t="shared" ca="1" si="0"/>
        <v>25.369312126457984</v>
      </c>
      <c r="B33" s="7">
        <f t="shared" ca="1" si="2"/>
        <v>0.10939132325366464</v>
      </c>
      <c r="C33" s="7">
        <f t="shared" ca="1" si="3"/>
        <v>0.11854601493816072</v>
      </c>
      <c r="D33" s="7">
        <f t="shared" ca="1" si="4"/>
        <v>0.15651581119651931</v>
      </c>
      <c r="E33" s="7">
        <f t="shared" ca="1" si="5"/>
        <v>0.14600731937345549</v>
      </c>
      <c r="F33" s="7">
        <f t="shared" ca="1" si="6"/>
        <v>0.13509010851061276</v>
      </c>
      <c r="G33" s="7">
        <f t="shared" ca="1" si="7"/>
        <v>0.11146497270490105</v>
      </c>
      <c r="H33" s="5">
        <v>27</v>
      </c>
      <c r="I33" s="7">
        <f t="shared" ca="1" si="8"/>
        <v>0.10939132325366464</v>
      </c>
      <c r="J33" s="7">
        <f t="shared" ca="1" si="9"/>
        <v>25.369312126457984</v>
      </c>
      <c r="K33" s="7">
        <f t="shared" ca="1" si="10"/>
        <v>3.7351896680621861</v>
      </c>
      <c r="L33" s="7">
        <f t="shared" ca="1" si="11"/>
        <v>0.11</v>
      </c>
      <c r="M33" s="7">
        <f t="shared" ca="1" si="11"/>
        <v>25.37</v>
      </c>
      <c r="N33" s="7">
        <f t="shared" ca="1" si="11"/>
        <v>3.74</v>
      </c>
      <c r="O33" s="5"/>
      <c r="P33" s="5">
        <f t="shared" ca="1" si="12"/>
        <v>25</v>
      </c>
      <c r="Q33" s="5">
        <f t="shared" ca="1" si="14"/>
        <v>0</v>
      </c>
      <c r="R33" s="5">
        <f t="shared" ca="1" si="14"/>
        <v>0</v>
      </c>
      <c r="S33" s="5">
        <f t="shared" ca="1" si="14"/>
        <v>0</v>
      </c>
      <c r="T33" s="5">
        <f t="shared" ca="1" si="14"/>
        <v>0</v>
      </c>
      <c r="U33" s="5">
        <f t="shared" ca="1" si="14"/>
        <v>0</v>
      </c>
      <c r="V33" s="5">
        <f t="shared" ca="1" si="14"/>
        <v>0</v>
      </c>
    </row>
    <row r="34" spans="1:22">
      <c r="A34" s="7">
        <f t="shared" ca="1" si="0"/>
        <v>23.770430882674098</v>
      </c>
      <c r="B34" s="7">
        <f t="shared" ca="1" si="2"/>
        <v>0.13152624239535043</v>
      </c>
      <c r="C34" s="7">
        <f t="shared" ca="1" si="3"/>
        <v>0.10726660741396174</v>
      </c>
      <c r="D34" s="7">
        <f t="shared" ca="1" si="4"/>
        <v>0.16481047392383363</v>
      </c>
      <c r="E34" s="7">
        <f t="shared" ca="1" si="5"/>
        <v>0.1372891351888102</v>
      </c>
      <c r="F34" s="7">
        <f t="shared" ca="1" si="6"/>
        <v>0.10435001639373397</v>
      </c>
      <c r="G34" s="7">
        <f t="shared" ca="1" si="7"/>
        <v>0.20248195579686926</v>
      </c>
      <c r="H34">
        <v>28</v>
      </c>
      <c r="I34" s="7">
        <f t="shared" ca="1" si="8"/>
        <v>0.10435001639373397</v>
      </c>
      <c r="J34" s="7">
        <f t="shared" ca="1" si="9"/>
        <v>23.770430882674098</v>
      </c>
      <c r="K34" s="7">
        <f t="shared" ca="1" si="10"/>
        <v>3.5168793305409509</v>
      </c>
      <c r="L34" s="7">
        <f t="shared" ca="1" si="11"/>
        <v>0.1</v>
      </c>
      <c r="M34" s="7">
        <f t="shared" ca="1" si="11"/>
        <v>23.77</v>
      </c>
      <c r="N34" s="7">
        <f t="shared" ca="1" si="11"/>
        <v>3.52</v>
      </c>
      <c r="O34" s="5"/>
      <c r="P34" s="5">
        <f t="shared" ca="1" si="12"/>
        <v>24</v>
      </c>
      <c r="Q34" s="5">
        <f t="shared" ca="1" si="14"/>
        <v>0</v>
      </c>
      <c r="R34" s="5">
        <f t="shared" ca="1" si="14"/>
        <v>0</v>
      </c>
      <c r="S34" s="5">
        <f t="shared" ca="1" si="14"/>
        <v>0</v>
      </c>
      <c r="T34" s="5">
        <f t="shared" ca="1" si="14"/>
        <v>0</v>
      </c>
      <c r="U34" s="5">
        <f t="shared" ca="1" si="14"/>
        <v>0</v>
      </c>
      <c r="V34" s="5">
        <f t="shared" ca="1" si="14"/>
        <v>0</v>
      </c>
    </row>
    <row r="35" spans="1:22">
      <c r="A35" s="7">
        <f t="shared" ca="1" si="0"/>
        <v>21.616285463831751</v>
      </c>
      <c r="B35" s="7">
        <f t="shared" ca="1" si="2"/>
        <v>0.15551800424144269</v>
      </c>
      <c r="C35" s="7">
        <f t="shared" ca="1" si="3"/>
        <v>0.10548630268031652</v>
      </c>
      <c r="D35" s="7">
        <f t="shared" ca="1" si="4"/>
        <v>0.10718000352879491</v>
      </c>
      <c r="E35" s="7">
        <f t="shared" ca="1" si="5"/>
        <v>0.1240566490659199</v>
      </c>
      <c r="F35" s="7">
        <f t="shared" ca="1" si="6"/>
        <v>0.14719174224816484</v>
      </c>
      <c r="G35" s="7">
        <f t="shared" ca="1" si="7"/>
        <v>0.1731278049561838</v>
      </c>
      <c r="H35" s="5">
        <v>29</v>
      </c>
      <c r="I35" s="7">
        <f t="shared" ca="1" si="8"/>
        <v>0.10548630268031652</v>
      </c>
      <c r="J35" s="7">
        <f t="shared" ca="1" si="9"/>
        <v>21.616285463831751</v>
      </c>
      <c r="K35" s="7">
        <f t="shared" ca="1" si="10"/>
        <v>3.2041208529360823</v>
      </c>
      <c r="L35" s="7">
        <f t="shared" ca="1" si="11"/>
        <v>0.11</v>
      </c>
      <c r="M35" s="7">
        <f t="shared" ca="1" si="11"/>
        <v>21.62</v>
      </c>
      <c r="N35" s="7">
        <f t="shared" ca="1" si="11"/>
        <v>3.2</v>
      </c>
      <c r="O35" s="5"/>
      <c r="P35" s="5">
        <f t="shared" ca="1" si="12"/>
        <v>22</v>
      </c>
      <c r="Q35" s="5">
        <f t="shared" ca="1" si="14"/>
        <v>0</v>
      </c>
      <c r="R35" s="5">
        <f t="shared" ca="1" si="14"/>
        <v>0</v>
      </c>
      <c r="S35" s="5">
        <f t="shared" ca="1" si="14"/>
        <v>0</v>
      </c>
      <c r="T35" s="5">
        <f t="shared" ca="1" si="14"/>
        <v>0</v>
      </c>
      <c r="U35" s="5">
        <f t="shared" ca="1" si="14"/>
        <v>0</v>
      </c>
      <c r="V35" s="5">
        <f t="shared" ca="1" si="14"/>
        <v>0</v>
      </c>
    </row>
    <row r="36" spans="1:22">
      <c r="A36" s="7">
        <f t="shared" ca="1" si="0"/>
        <v>19.481540121910577</v>
      </c>
      <c r="B36" s="7">
        <f t="shared" ca="1" si="2"/>
        <v>0.16974701601771253</v>
      </c>
      <c r="C36" s="7">
        <f t="shared" ca="1" si="3"/>
        <v>0.10526310305772915</v>
      </c>
      <c r="D36" s="7">
        <f t="shared" ca="1" si="4"/>
        <v>0.13598421723294457</v>
      </c>
      <c r="E36" s="7">
        <f t="shared" ca="1" si="5"/>
        <v>0.11602755656716505</v>
      </c>
      <c r="F36" s="7">
        <f t="shared" ca="1" si="6"/>
        <v>0.11625048087277678</v>
      </c>
      <c r="G36" s="7">
        <f t="shared" ca="1" si="7"/>
        <v>0.13766599337993823</v>
      </c>
      <c r="H36">
        <v>30</v>
      </c>
      <c r="I36" s="7">
        <f t="shared" ca="1" si="8"/>
        <v>0.10526310305772915</v>
      </c>
      <c r="J36" s="7">
        <f t="shared" ca="1" si="9"/>
        <v>19.481540121910577</v>
      </c>
      <c r="K36" s="7">
        <f t="shared" ca="1" si="10"/>
        <v>2.8946397841484059</v>
      </c>
      <c r="L36" s="7">
        <f t="shared" ca="1" si="11"/>
        <v>0.11</v>
      </c>
      <c r="M36" s="7">
        <f t="shared" ca="1" si="11"/>
        <v>19.48</v>
      </c>
      <c r="N36" s="7">
        <f t="shared" ca="1" si="11"/>
        <v>2.89</v>
      </c>
      <c r="O36" s="5"/>
      <c r="P36" s="5">
        <f t="shared" ca="1" si="12"/>
        <v>19</v>
      </c>
      <c r="Q36" s="5">
        <f t="shared" ca="1" si="14"/>
        <v>0</v>
      </c>
      <c r="R36" s="5">
        <f t="shared" ca="1" si="14"/>
        <v>0</v>
      </c>
      <c r="S36" s="5">
        <f t="shared" ca="1" si="14"/>
        <v>0</v>
      </c>
      <c r="T36" s="5">
        <f t="shared" ca="1" si="14"/>
        <v>0</v>
      </c>
      <c r="U36" s="5">
        <f t="shared" ca="1" si="14"/>
        <v>0</v>
      </c>
      <c r="V36" s="5">
        <f t="shared" ca="1" si="14"/>
        <v>0</v>
      </c>
    </row>
    <row r="37" spans="1:22">
      <c r="A37" s="7">
        <f t="shared" ca="1" si="0"/>
        <v>18.128237721622902</v>
      </c>
      <c r="B37" s="7">
        <f t="shared" ca="1" si="2"/>
        <v>0.10084768617369094</v>
      </c>
      <c r="C37" s="7">
        <f t="shared" ca="1" si="3"/>
        <v>0.1310829747946218</v>
      </c>
      <c r="D37" s="7">
        <f t="shared" ca="1" si="4"/>
        <v>0.11116270538118238</v>
      </c>
      <c r="E37" s="7">
        <f t="shared" ca="1" si="5"/>
        <v>0.14163025548982938</v>
      </c>
      <c r="F37" s="7">
        <f t="shared" ca="1" si="6"/>
        <v>0.12743512104478164</v>
      </c>
      <c r="G37" s="7">
        <f t="shared" ca="1" si="7"/>
        <v>0.11229212105004498</v>
      </c>
      <c r="H37" s="5">
        <v>31</v>
      </c>
      <c r="I37" s="7">
        <f t="shared" ca="1" si="8"/>
        <v>0.10084768617369094</v>
      </c>
      <c r="J37" s="7">
        <f t="shared" ca="1" si="9"/>
        <v>18.128237721622902</v>
      </c>
      <c r="K37" s="7">
        <f t="shared" ca="1" si="10"/>
        <v>2.6932412265081509</v>
      </c>
      <c r="L37" s="7">
        <f t="shared" ca="1" si="11"/>
        <v>0.1</v>
      </c>
      <c r="M37" s="7">
        <f t="shared" ca="1" si="11"/>
        <v>18.13</v>
      </c>
      <c r="N37" s="7">
        <f t="shared" ca="1" si="11"/>
        <v>2.69</v>
      </c>
      <c r="O37" s="5"/>
      <c r="P37" s="5">
        <f t="shared" ca="1" si="12"/>
        <v>18</v>
      </c>
      <c r="Q37" s="7">
        <f t="shared" ref="Q37:S52" ca="1" si="15">ROUND(B37,2)</f>
        <v>0.1</v>
      </c>
      <c r="R37" s="7">
        <f t="shared" ca="1" si="15"/>
        <v>0.13</v>
      </c>
      <c r="S37" s="7">
        <f t="shared" ca="1" si="15"/>
        <v>0.11</v>
      </c>
      <c r="T37" s="7"/>
      <c r="U37" s="7"/>
      <c r="V37" s="5"/>
    </row>
    <row r="38" spans="1:22">
      <c r="A38" s="7">
        <f t="shared" ca="1" si="0"/>
        <v>19.841234638878813</v>
      </c>
      <c r="B38" s="7">
        <f t="shared" ca="1" si="2"/>
        <v>0.16243317495915705</v>
      </c>
      <c r="C38" s="7">
        <f t="shared" ca="1" si="3"/>
        <v>0.11460126988076612</v>
      </c>
      <c r="D38" s="7">
        <f t="shared" ca="1" si="4"/>
        <v>0.16952298920149411</v>
      </c>
      <c r="E38" s="7">
        <f t="shared" ca="1" si="5"/>
        <v>0.11411425699543105</v>
      </c>
      <c r="F38" s="7">
        <f t="shared" ca="1" si="6"/>
        <v>0.10838209159393201</v>
      </c>
      <c r="G38" s="7">
        <f t="shared" ca="1" si="7"/>
        <v>0.16096641158752328</v>
      </c>
      <c r="H38">
        <v>32</v>
      </c>
      <c r="I38" s="7">
        <f t="shared" ca="1" si="8"/>
        <v>0.10838209159393201</v>
      </c>
      <c r="J38" s="7">
        <f t="shared" ca="1" si="9"/>
        <v>19.841234638878813</v>
      </c>
      <c r="K38" s="7">
        <f t="shared" ca="1" si="10"/>
        <v>2.9530364047281594</v>
      </c>
      <c r="L38" s="7">
        <f t="shared" ca="1" si="11"/>
        <v>0.11</v>
      </c>
      <c r="M38" s="7">
        <f t="shared" ca="1" si="11"/>
        <v>19.84</v>
      </c>
      <c r="N38" s="7">
        <f t="shared" ca="1" si="11"/>
        <v>2.95</v>
      </c>
      <c r="O38" s="5"/>
      <c r="P38" s="5">
        <f t="shared" ca="1" si="12"/>
        <v>20</v>
      </c>
      <c r="Q38" s="7">
        <f t="shared" ca="1" si="15"/>
        <v>0.16</v>
      </c>
      <c r="R38" s="7">
        <f t="shared" ca="1" si="15"/>
        <v>0.11</v>
      </c>
      <c r="S38" s="7">
        <f t="shared" ca="1" si="15"/>
        <v>0.17</v>
      </c>
      <c r="T38" s="7"/>
      <c r="U38" s="7"/>
      <c r="V38" s="5"/>
    </row>
    <row r="39" spans="1:22">
      <c r="A39" s="7">
        <f t="shared" ca="1" si="0"/>
        <v>22.341809827678837</v>
      </c>
      <c r="B39" s="7">
        <f t="shared" ca="1" si="2"/>
        <v>0.15525394926053818</v>
      </c>
      <c r="C39" s="7">
        <f t="shared" ca="1" si="3"/>
        <v>0.123339454462667</v>
      </c>
      <c r="D39" s="7">
        <f t="shared" ca="1" si="4"/>
        <v>0.1433803800125458</v>
      </c>
      <c r="E39" s="7">
        <f t="shared" ca="1" si="5"/>
        <v>0.11002568736735543</v>
      </c>
      <c r="F39" s="7">
        <f t="shared" ca="1" si="6"/>
        <v>0.10426348410471738</v>
      </c>
      <c r="G39" s="7">
        <f t="shared" ca="1" si="7"/>
        <v>0.12346717314107943</v>
      </c>
      <c r="H39" s="5">
        <v>33</v>
      </c>
      <c r="I39" s="7">
        <f t="shared" ca="1" si="8"/>
        <v>0.10426348410471738</v>
      </c>
      <c r="J39" s="7">
        <f t="shared" ca="1" si="9"/>
        <v>22.341809827678837</v>
      </c>
      <c r="K39" s="7">
        <f t="shared" ca="1" si="10"/>
        <v>3.3002199937182479</v>
      </c>
      <c r="L39" s="7">
        <f t="shared" ca="1" si="11"/>
        <v>0.1</v>
      </c>
      <c r="M39" s="7">
        <f t="shared" ca="1" si="11"/>
        <v>22.34</v>
      </c>
      <c r="N39" s="7">
        <f t="shared" ca="1" si="11"/>
        <v>3.3</v>
      </c>
      <c r="O39" s="5"/>
      <c r="P39" s="5">
        <f t="shared" ca="1" si="12"/>
        <v>22</v>
      </c>
      <c r="Q39" s="7">
        <f t="shared" ca="1" si="15"/>
        <v>0.16</v>
      </c>
      <c r="R39" s="7">
        <f t="shared" ca="1" si="15"/>
        <v>0.12</v>
      </c>
      <c r="S39" s="7">
        <f t="shared" ca="1" si="15"/>
        <v>0.14000000000000001</v>
      </c>
      <c r="T39" s="5"/>
      <c r="U39" s="5"/>
      <c r="V39" s="5"/>
    </row>
    <row r="40" spans="1:22">
      <c r="A40" s="7">
        <f t="shared" ca="1" si="0"/>
        <v>24.411104060711605</v>
      </c>
      <c r="B40" s="7">
        <f t="shared" ca="1" si="2"/>
        <v>0.11793956740126146</v>
      </c>
      <c r="C40" s="7">
        <f t="shared" ca="1" si="3"/>
        <v>0.10763731345314878</v>
      </c>
      <c r="D40" s="7">
        <f t="shared" ca="1" si="4"/>
        <v>0.12395311394482389</v>
      </c>
      <c r="E40" s="7">
        <f t="shared" ca="1" si="5"/>
        <v>0.13608732582198785</v>
      </c>
      <c r="F40" s="7">
        <f t="shared" ca="1" si="6"/>
        <v>0.11592162892272358</v>
      </c>
      <c r="G40" s="7">
        <f t="shared" ca="1" si="7"/>
        <v>0.15665420471685046</v>
      </c>
      <c r="H40">
        <v>34</v>
      </c>
      <c r="I40" s="7">
        <f t="shared" ca="1" si="8"/>
        <v>0.10763731345314878</v>
      </c>
      <c r="J40" s="7">
        <f t="shared" ca="1" si="9"/>
        <v>24.411104060711605</v>
      </c>
      <c r="K40" s="7">
        <f t="shared" ca="1" si="10"/>
        <v>3.5956138878532005</v>
      </c>
      <c r="L40" s="7">
        <f t="shared" ca="1" si="11"/>
        <v>0.11</v>
      </c>
      <c r="M40" s="7">
        <f t="shared" ca="1" si="11"/>
        <v>24.41</v>
      </c>
      <c r="N40" s="7">
        <f t="shared" ca="1" si="11"/>
        <v>3.6</v>
      </c>
      <c r="O40" s="5"/>
      <c r="P40" s="5">
        <f t="shared" ca="1" si="12"/>
        <v>24</v>
      </c>
      <c r="Q40" s="7">
        <f t="shared" ca="1" si="15"/>
        <v>0.12</v>
      </c>
      <c r="R40" s="7">
        <f t="shared" ca="1" si="15"/>
        <v>0.11</v>
      </c>
      <c r="S40" s="7">
        <f t="shared" ca="1" si="15"/>
        <v>0.12</v>
      </c>
      <c r="T40" s="5"/>
      <c r="U40" s="5"/>
      <c r="V40" s="5"/>
    </row>
    <row r="41" spans="1:22">
      <c r="A41" s="7">
        <f t="shared" ca="1" si="0"/>
        <v>20.396825820522992</v>
      </c>
      <c r="B41" s="7">
        <f t="shared" ca="1" si="2"/>
        <v>0.16682659728853344</v>
      </c>
      <c r="C41" s="7">
        <f t="shared" ca="1" si="3"/>
        <v>0.13315920718803329</v>
      </c>
      <c r="D41" s="7">
        <f t="shared" ca="1" si="4"/>
        <v>0.12019006124987353</v>
      </c>
      <c r="E41" s="7">
        <f t="shared" ca="1" si="5"/>
        <v>0.10093059145108647</v>
      </c>
      <c r="F41" s="7">
        <f t="shared" ca="1" si="6"/>
        <v>0.11457426050670924</v>
      </c>
      <c r="G41" s="7">
        <f t="shared" ca="1" si="7"/>
        <v>0.18727505427942848</v>
      </c>
      <c r="H41" s="5">
        <v>35</v>
      </c>
      <c r="I41" s="7">
        <f t="shared" ca="1" si="8"/>
        <v>0.10093059145108647</v>
      </c>
      <c r="J41" s="7">
        <f t="shared" ca="1" si="9"/>
        <v>20.396825820522992</v>
      </c>
      <c r="K41" s="7">
        <f t="shared" ca="1" si="10"/>
        <v>3.0313973703552364</v>
      </c>
      <c r="L41" s="7">
        <f t="shared" ca="1" si="11"/>
        <v>0.1</v>
      </c>
      <c r="M41" s="7">
        <f t="shared" ca="1" si="11"/>
        <v>20.399999999999999</v>
      </c>
      <c r="N41" s="7">
        <f t="shared" ca="1" si="11"/>
        <v>3.03</v>
      </c>
      <c r="O41" s="5"/>
      <c r="P41" s="5">
        <f t="shared" ref="P41:P71" ca="1" si="16">ROUND(A41,0)</f>
        <v>20</v>
      </c>
      <c r="Q41" s="7">
        <f t="shared" ca="1" si="15"/>
        <v>0.17</v>
      </c>
      <c r="R41" s="7">
        <f t="shared" ca="1" si="15"/>
        <v>0.13</v>
      </c>
      <c r="S41" s="7">
        <f t="shared" ca="1" si="15"/>
        <v>0.12</v>
      </c>
      <c r="T41" s="5"/>
      <c r="U41" s="5"/>
      <c r="V41" s="5"/>
    </row>
    <row r="42" spans="1:22">
      <c r="A42" s="7">
        <f t="shared" ca="1" si="0"/>
        <v>22.043667981898498</v>
      </c>
      <c r="B42" s="7">
        <f t="shared" ca="1" si="2"/>
        <v>0.10200369318341895</v>
      </c>
      <c r="C42" s="7">
        <f t="shared" ca="1" si="3"/>
        <v>0.13669178428986534</v>
      </c>
      <c r="D42" s="7">
        <f t="shared" ca="1" si="4"/>
        <v>0.12359269935655413</v>
      </c>
      <c r="E42" s="7">
        <f t="shared" ca="1" si="5"/>
        <v>0.12189802751820786</v>
      </c>
      <c r="F42" s="7">
        <f t="shared" ca="1" si="6"/>
        <v>0.10670680498764544</v>
      </c>
      <c r="G42" s="7">
        <f t="shared" ca="1" si="7"/>
        <v>0.13602880894369626</v>
      </c>
      <c r="H42">
        <v>36</v>
      </c>
      <c r="I42" s="7">
        <f t="shared" ca="1" si="8"/>
        <v>0.10200369318341895</v>
      </c>
      <c r="J42" s="7">
        <f t="shared" ca="1" si="9"/>
        <v>22.043667981898498</v>
      </c>
      <c r="K42" s="7">
        <f t="shared" ca="1" si="10"/>
        <v>3.2529414000254122</v>
      </c>
      <c r="L42" s="7">
        <f t="shared" ca="1" si="11"/>
        <v>0.1</v>
      </c>
      <c r="M42" s="7">
        <f t="shared" ca="1" si="11"/>
        <v>22.04</v>
      </c>
      <c r="N42" s="7">
        <f t="shared" ca="1" si="11"/>
        <v>3.25</v>
      </c>
      <c r="O42" s="5"/>
      <c r="P42" s="5">
        <f t="shared" ca="1" si="16"/>
        <v>22</v>
      </c>
      <c r="Q42" s="7">
        <f t="shared" ca="1" si="15"/>
        <v>0.1</v>
      </c>
      <c r="R42" s="7">
        <f t="shared" ca="1" si="15"/>
        <v>0.14000000000000001</v>
      </c>
      <c r="S42" s="7">
        <f t="shared" ca="1" si="15"/>
        <v>0.12</v>
      </c>
      <c r="T42" s="5"/>
      <c r="U42" s="5"/>
      <c r="V42" s="5">
        <v>58.969638231686076</v>
      </c>
    </row>
    <row r="43" spans="1:22">
      <c r="A43" s="7">
        <f t="shared" ca="1" si="0"/>
        <v>25.642520901506408</v>
      </c>
      <c r="B43" s="7">
        <f t="shared" ca="1" si="2"/>
        <v>0.12607739693540793</v>
      </c>
      <c r="C43" s="7">
        <f t="shared" ca="1" si="3"/>
        <v>0.12871173473141478</v>
      </c>
      <c r="D43" s="7">
        <f t="shared" ca="1" si="4"/>
        <v>0.16428300411514313</v>
      </c>
      <c r="E43" s="7">
        <f t="shared" ca="1" si="5"/>
        <v>0.11953427944595259</v>
      </c>
      <c r="F43" s="7">
        <f t="shared" ca="1" si="6"/>
        <v>0.11300120501980446</v>
      </c>
      <c r="G43" s="7">
        <f t="shared" ca="1" si="7"/>
        <v>0.18567810316568789</v>
      </c>
      <c r="H43" s="5">
        <v>37</v>
      </c>
      <c r="I43" s="7">
        <f t="shared" ca="1" si="8"/>
        <v>0.11300120501980446</v>
      </c>
      <c r="J43" s="7">
        <f t="shared" ca="1" si="9"/>
        <v>25.642520901506408</v>
      </c>
      <c r="K43" s="7">
        <f t="shared" ca="1" si="10"/>
        <v>3.782829517845689</v>
      </c>
      <c r="L43" s="7">
        <f t="shared" ca="1" si="11"/>
        <v>0.11</v>
      </c>
      <c r="M43" s="7">
        <f t="shared" ca="1" si="11"/>
        <v>25.64</v>
      </c>
      <c r="N43" s="7">
        <f t="shared" ca="1" si="11"/>
        <v>3.78</v>
      </c>
      <c r="O43" s="5"/>
      <c r="P43" s="5">
        <f t="shared" ca="1" si="16"/>
        <v>26</v>
      </c>
      <c r="Q43" s="7">
        <f t="shared" ca="1" si="15"/>
        <v>0.13</v>
      </c>
      <c r="R43" s="7">
        <f t="shared" ca="1" si="15"/>
        <v>0.13</v>
      </c>
      <c r="S43" s="7">
        <f t="shared" ca="1" si="15"/>
        <v>0.16</v>
      </c>
      <c r="T43" s="5"/>
      <c r="U43" s="5"/>
      <c r="V43" s="5">
        <v>58.913606311342967</v>
      </c>
    </row>
    <row r="44" spans="1:22">
      <c r="A44" s="7">
        <f t="shared" ca="1" si="0"/>
        <v>22.564511107399092</v>
      </c>
      <c r="B44" s="7">
        <f t="shared" ca="1" si="2"/>
        <v>0.11076508270835526</v>
      </c>
      <c r="C44" s="7">
        <f t="shared" ca="1" si="3"/>
        <v>0.10852066924448142</v>
      </c>
      <c r="D44" s="7">
        <f t="shared" ca="1" si="4"/>
        <v>0.10590979822703422</v>
      </c>
      <c r="E44" s="7">
        <f t="shared" ca="1" si="5"/>
        <v>0.1129038958063027</v>
      </c>
      <c r="F44" s="7">
        <f t="shared" ca="1" si="6"/>
        <v>0.11980724420871008</v>
      </c>
      <c r="G44" s="7">
        <f t="shared" ca="1" si="7"/>
        <v>0.1704483570561578</v>
      </c>
      <c r="H44">
        <v>38</v>
      </c>
      <c r="I44" s="7">
        <f t="shared" ca="1" si="8"/>
        <v>0.10590979822703422</v>
      </c>
      <c r="J44" s="7">
        <f t="shared" ca="1" si="9"/>
        <v>22.564511107399092</v>
      </c>
      <c r="K44" s="7">
        <f t="shared" ca="1" si="10"/>
        <v>3.3275523078071623</v>
      </c>
      <c r="L44" s="7">
        <f t="shared" ca="1" si="11"/>
        <v>0.11</v>
      </c>
      <c r="M44" s="7">
        <f t="shared" ca="1" si="11"/>
        <v>22.56</v>
      </c>
      <c r="N44" s="7">
        <f t="shared" ca="1" si="11"/>
        <v>3.33</v>
      </c>
      <c r="O44" s="5"/>
      <c r="P44" s="5">
        <f t="shared" ca="1" si="16"/>
        <v>23</v>
      </c>
      <c r="Q44" s="7">
        <f t="shared" ca="1" si="15"/>
        <v>0.11</v>
      </c>
      <c r="R44" s="7">
        <f t="shared" ca="1" si="15"/>
        <v>0.11</v>
      </c>
      <c r="S44" s="7">
        <f t="shared" ca="1" si="15"/>
        <v>0.11</v>
      </c>
      <c r="T44" s="5"/>
      <c r="U44" s="5"/>
      <c r="V44" s="5">
        <v>60.512800282770755</v>
      </c>
    </row>
    <row r="45" spans="1:22">
      <c r="A45" s="7">
        <f t="shared" ca="1" si="0"/>
        <v>25.939047285739608</v>
      </c>
      <c r="B45" s="7">
        <f t="shared" ca="1" si="2"/>
        <v>0.12629195210385</v>
      </c>
      <c r="C45" s="7">
        <f t="shared" ca="1" si="3"/>
        <v>0.1214767017244387</v>
      </c>
      <c r="D45" s="7">
        <f t="shared" ca="1" si="4"/>
        <v>0.18423546879896358</v>
      </c>
      <c r="E45" s="7">
        <f t="shared" ca="1" si="5"/>
        <v>0.13716853466148582</v>
      </c>
      <c r="F45" s="7">
        <f t="shared" ca="1" si="6"/>
        <v>0.10085715899906458</v>
      </c>
      <c r="G45" s="7">
        <f t="shared" ca="1" si="7"/>
        <v>0.20758554990100664</v>
      </c>
      <c r="H45" s="5">
        <v>39</v>
      </c>
      <c r="I45" s="7">
        <f t="shared" ca="1" si="8"/>
        <v>0.10085715899906458</v>
      </c>
      <c r="J45" s="7">
        <f t="shared" ca="1" si="9"/>
        <v>25.939047285739608</v>
      </c>
      <c r="K45" s="7">
        <f t="shared" ca="1" si="10"/>
        <v>3.8309518074183457</v>
      </c>
      <c r="L45" s="7">
        <f t="shared" ca="1" si="11"/>
        <v>0.1</v>
      </c>
      <c r="M45" s="7">
        <f t="shared" ca="1" si="11"/>
        <v>25.94</v>
      </c>
      <c r="N45" s="7">
        <f t="shared" ca="1" si="11"/>
        <v>3.83</v>
      </c>
      <c r="O45" s="5"/>
      <c r="P45" s="5">
        <f t="shared" ca="1" si="16"/>
        <v>26</v>
      </c>
      <c r="Q45" s="7">
        <f t="shared" ca="1" si="15"/>
        <v>0.13</v>
      </c>
      <c r="R45" s="7">
        <f t="shared" ca="1" si="15"/>
        <v>0.12</v>
      </c>
      <c r="S45" s="7">
        <f t="shared" ca="1" si="15"/>
        <v>0.18</v>
      </c>
      <c r="T45" s="5"/>
      <c r="U45" s="5"/>
      <c r="V45" s="5">
        <v>55.178410152059662</v>
      </c>
    </row>
    <row r="46" spans="1:22">
      <c r="A46" s="7">
        <f t="shared" ca="1" si="0"/>
        <v>21.591732048479088</v>
      </c>
      <c r="B46" s="7">
        <f t="shared" ca="1" si="2"/>
        <v>0.15265231022700754</v>
      </c>
      <c r="C46" s="7">
        <f t="shared" ca="1" si="3"/>
        <v>0.11881998325489539</v>
      </c>
      <c r="D46" s="7">
        <f t="shared" ca="1" si="4"/>
        <v>0.17295216629269822</v>
      </c>
      <c r="E46" s="7">
        <f t="shared" ca="1" si="5"/>
        <v>0.10714729856402322</v>
      </c>
      <c r="F46" s="7">
        <f t="shared" ca="1" si="6"/>
        <v>0.13110574212391896</v>
      </c>
      <c r="G46" s="7">
        <f t="shared" ca="1" si="7"/>
        <v>0.17408417367309609</v>
      </c>
      <c r="H46">
        <v>40</v>
      </c>
      <c r="I46" s="7">
        <f t="shared" ca="1" si="8"/>
        <v>0.10714729856402322</v>
      </c>
      <c r="J46" s="7">
        <f t="shared" ca="1" si="9"/>
        <v>21.591732048479088</v>
      </c>
      <c r="K46" s="7">
        <f t="shared" ca="1" si="10"/>
        <v>3.206927674659247</v>
      </c>
      <c r="L46" s="7">
        <f t="shared" ca="1" si="11"/>
        <v>0.11</v>
      </c>
      <c r="M46" s="7">
        <f t="shared" ca="1" si="11"/>
        <v>21.59</v>
      </c>
      <c r="N46" s="7">
        <f t="shared" ca="1" si="11"/>
        <v>3.21</v>
      </c>
      <c r="O46" s="5"/>
      <c r="P46" s="5">
        <f t="shared" ca="1" si="16"/>
        <v>22</v>
      </c>
      <c r="Q46" s="7">
        <f t="shared" ca="1" si="15"/>
        <v>0.15</v>
      </c>
      <c r="R46" s="7">
        <f t="shared" ca="1" si="15"/>
        <v>0.12</v>
      </c>
      <c r="S46" s="7">
        <f t="shared" ca="1" si="15"/>
        <v>0.17</v>
      </c>
      <c r="T46" s="5"/>
      <c r="U46" s="5"/>
      <c r="V46" s="5">
        <v>60.105144399761684</v>
      </c>
    </row>
    <row r="47" spans="1:22">
      <c r="A47" s="7">
        <f t="shared" ca="1" si="0"/>
        <v>22.630512642435551</v>
      </c>
      <c r="B47" s="7">
        <f t="shared" ca="1" si="2"/>
        <v>0.1476278100924979</v>
      </c>
      <c r="C47" s="7">
        <f t="shared" ca="1" si="3"/>
        <v>0.10213028824496526</v>
      </c>
      <c r="D47" s="7">
        <f t="shared" ca="1" si="4"/>
        <v>0.15798462559364662</v>
      </c>
      <c r="E47" s="7">
        <f t="shared" ca="1" si="5"/>
        <v>0.12053501451297152</v>
      </c>
      <c r="F47" s="7">
        <f t="shared" ca="1" si="6"/>
        <v>0.14614876842171245</v>
      </c>
      <c r="G47" s="7">
        <f t="shared" ca="1" si="7"/>
        <v>0.14275341621313881</v>
      </c>
      <c r="H47" s="5">
        <v>41</v>
      </c>
      <c r="I47" s="7">
        <f t="shared" ca="1" si="8"/>
        <v>0.10213028824496526</v>
      </c>
      <c r="J47" s="7">
        <f t="shared" ca="1" si="9"/>
        <v>22.630512642435551</v>
      </c>
      <c r="K47" s="7">
        <f t="shared" ca="1" si="10"/>
        <v>3.3496703665020688</v>
      </c>
      <c r="L47" s="7">
        <f t="shared" ca="1" si="11"/>
        <v>0.1</v>
      </c>
      <c r="M47" s="7">
        <f t="shared" ca="1" si="11"/>
        <v>22.63</v>
      </c>
      <c r="N47" s="7">
        <f t="shared" ca="1" si="11"/>
        <v>3.35</v>
      </c>
      <c r="O47" s="5"/>
      <c r="P47" s="5">
        <f t="shared" ca="1" si="16"/>
        <v>23</v>
      </c>
      <c r="Q47" s="7">
        <f t="shared" ca="1" si="15"/>
        <v>0.15</v>
      </c>
      <c r="R47" s="7">
        <f t="shared" ca="1" si="15"/>
        <v>0.1</v>
      </c>
      <c r="S47" s="7">
        <f t="shared" ca="1" si="15"/>
        <v>0.16</v>
      </c>
      <c r="T47" s="5"/>
      <c r="U47" s="5"/>
      <c r="V47" s="5">
        <v>60.290756518456242</v>
      </c>
    </row>
    <row r="48" spans="1:22">
      <c r="A48" s="7">
        <f t="shared" ca="1" si="0"/>
        <v>23.288152435332481</v>
      </c>
      <c r="B48" s="7">
        <f t="shared" ca="1" si="2"/>
        <v>0.1286945281534973</v>
      </c>
      <c r="C48" s="7">
        <f t="shared" ca="1" si="3"/>
        <v>0.10188037915241117</v>
      </c>
      <c r="D48" s="7">
        <f t="shared" ca="1" si="4"/>
        <v>0.15191026581866421</v>
      </c>
      <c r="E48" s="7">
        <f t="shared" ca="1" si="5"/>
        <v>0.12248706072412295</v>
      </c>
      <c r="F48" s="7">
        <f t="shared" ca="1" si="6"/>
        <v>0.1461835313665559</v>
      </c>
      <c r="G48" s="7">
        <f t="shared" ca="1" si="7"/>
        <v>0.13304856653423924</v>
      </c>
      <c r="H48">
        <v>42</v>
      </c>
      <c r="I48" s="7">
        <f t="shared" ca="1" si="8"/>
        <v>0.10188037915241117</v>
      </c>
      <c r="J48" s="7">
        <f t="shared" ca="1" si="9"/>
        <v>23.288152435332481</v>
      </c>
      <c r="K48" s="7">
        <f t="shared" ca="1" si="10"/>
        <v>3.4389081095831391</v>
      </c>
      <c r="L48" s="7">
        <f t="shared" ca="1" si="11"/>
        <v>0.1</v>
      </c>
      <c r="M48" s="7">
        <f t="shared" ca="1" si="11"/>
        <v>23.29</v>
      </c>
      <c r="N48" s="7">
        <f t="shared" ca="1" si="11"/>
        <v>3.44</v>
      </c>
      <c r="O48" s="5"/>
      <c r="P48" s="5">
        <f t="shared" ca="1" si="16"/>
        <v>23</v>
      </c>
      <c r="Q48" s="7">
        <f t="shared" ca="1" si="15"/>
        <v>0.13</v>
      </c>
      <c r="R48" s="7">
        <f t="shared" ca="1" si="15"/>
        <v>0.1</v>
      </c>
      <c r="S48" s="7">
        <f t="shared" ca="1" si="15"/>
        <v>0.15</v>
      </c>
      <c r="T48" s="5"/>
      <c r="U48" s="5"/>
      <c r="V48" s="5">
        <v>58.239842960508113</v>
      </c>
    </row>
    <row r="49" spans="1:22">
      <c r="A49" s="7">
        <f t="shared" ca="1" si="0"/>
        <v>18.244331493074014</v>
      </c>
      <c r="B49" s="7">
        <f t="shared" ca="1" si="2"/>
        <v>0.14534307696080628</v>
      </c>
      <c r="C49" s="7">
        <f t="shared" ca="1" si="3"/>
        <v>0.10791226732002296</v>
      </c>
      <c r="D49" s="7">
        <f t="shared" ca="1" si="4"/>
        <v>0.13074332783638479</v>
      </c>
      <c r="E49" s="7">
        <f t="shared" ca="1" si="5"/>
        <v>0.11070174158595947</v>
      </c>
      <c r="F49" s="7">
        <f t="shared" ca="1" si="6"/>
        <v>0.11588536802268133</v>
      </c>
      <c r="G49" s="7">
        <f t="shared" ca="1" si="7"/>
        <v>0.16362360910181095</v>
      </c>
      <c r="H49" s="5">
        <v>43</v>
      </c>
      <c r="I49" s="7">
        <f t="shared" ca="1" si="8"/>
        <v>0.10791226732002296</v>
      </c>
      <c r="J49" s="7">
        <f t="shared" ca="1" si="9"/>
        <v>18.244331493074014</v>
      </c>
      <c r="K49" s="7">
        <f t="shared" ca="1" si="10"/>
        <v>2.7169344119859544</v>
      </c>
      <c r="L49" s="7">
        <f t="shared" ca="1" si="11"/>
        <v>0.11</v>
      </c>
      <c r="M49" s="7">
        <f t="shared" ca="1" si="11"/>
        <v>18.239999999999998</v>
      </c>
      <c r="N49" s="7">
        <f t="shared" ca="1" si="11"/>
        <v>2.72</v>
      </c>
      <c r="O49" s="5"/>
      <c r="P49" s="5">
        <f t="shared" ca="1" si="16"/>
        <v>18</v>
      </c>
      <c r="Q49" s="7">
        <f t="shared" ca="1" si="15"/>
        <v>0.15</v>
      </c>
      <c r="R49" s="7">
        <f t="shared" ca="1" si="15"/>
        <v>0.11</v>
      </c>
      <c r="S49" s="7">
        <f t="shared" ca="1" si="15"/>
        <v>0.13</v>
      </c>
      <c r="T49" s="5"/>
      <c r="U49" s="5"/>
      <c r="V49" s="5">
        <v>58.548576140592566</v>
      </c>
    </row>
    <row r="50" spans="1:22">
      <c r="A50" s="7">
        <f t="shared" ca="1" si="0"/>
        <v>25.188605500526055</v>
      </c>
      <c r="B50" s="7">
        <f t="shared" ca="1" si="2"/>
        <v>0.12164322247249609</v>
      </c>
      <c r="C50" s="7">
        <f t="shared" ca="1" si="3"/>
        <v>0.12271559967924514</v>
      </c>
      <c r="D50" s="7">
        <f t="shared" ca="1" si="4"/>
        <v>0.13701832908520345</v>
      </c>
      <c r="E50" s="7">
        <f t="shared" ca="1" si="5"/>
        <v>0.13987260112330457</v>
      </c>
      <c r="F50" s="7">
        <f t="shared" ca="1" si="6"/>
        <v>0.12425706036846115</v>
      </c>
      <c r="G50" s="7">
        <f t="shared" ca="1" si="7"/>
        <v>0.18984837003604715</v>
      </c>
      <c r="H50">
        <v>44</v>
      </c>
      <c r="I50" s="7">
        <f t="shared" ca="1" si="8"/>
        <v>0.12164322247249609</v>
      </c>
      <c r="J50" s="7">
        <f t="shared" ca="1" si="9"/>
        <v>25.188605500526055</v>
      </c>
      <c r="K50" s="7">
        <f t="shared" ca="1" si="10"/>
        <v>3.7177086690415448</v>
      </c>
      <c r="L50" s="7">
        <f t="shared" ca="1" si="11"/>
        <v>0.12</v>
      </c>
      <c r="M50" s="7">
        <f t="shared" ca="1" si="11"/>
        <v>25.19</v>
      </c>
      <c r="N50" s="7">
        <f t="shared" ca="1" si="11"/>
        <v>3.72</v>
      </c>
      <c r="O50" s="5"/>
      <c r="P50" s="5">
        <f t="shared" ca="1" si="16"/>
        <v>25</v>
      </c>
      <c r="Q50" s="7">
        <f t="shared" ca="1" si="15"/>
        <v>0.12</v>
      </c>
      <c r="R50" s="7">
        <f t="shared" ca="1" si="15"/>
        <v>0.12</v>
      </c>
      <c r="S50" s="7">
        <f t="shared" ca="1" si="15"/>
        <v>0.14000000000000001</v>
      </c>
      <c r="T50" s="5"/>
      <c r="U50" s="5"/>
      <c r="V50" s="5">
        <v>58.400260344453386</v>
      </c>
    </row>
    <row r="51" spans="1:22">
      <c r="A51" s="7">
        <f t="shared" ca="1" si="0"/>
        <v>22.469838235651906</v>
      </c>
      <c r="B51" s="7">
        <f t="shared" ca="1" si="2"/>
        <v>0.14162280484450063</v>
      </c>
      <c r="C51" s="7">
        <f t="shared" ca="1" si="3"/>
        <v>0.12498894393285162</v>
      </c>
      <c r="D51" s="7">
        <f t="shared" ca="1" si="4"/>
        <v>0.12331414427415711</v>
      </c>
      <c r="E51" s="7">
        <f t="shared" ca="1" si="5"/>
        <v>0.12319241042916979</v>
      </c>
      <c r="F51" s="7">
        <f t="shared" ca="1" si="6"/>
        <v>0.13151733726955556</v>
      </c>
      <c r="G51" s="7">
        <f t="shared" ca="1" si="7"/>
        <v>0.13205654274318496</v>
      </c>
      <c r="H51" s="5">
        <v>45</v>
      </c>
      <c r="I51" s="7">
        <f t="shared" ca="1" si="8"/>
        <v>0.12319241042916979</v>
      </c>
      <c r="J51" s="7">
        <f t="shared" ca="1" si="9"/>
        <v>22.469838235651906</v>
      </c>
      <c r="K51" s="7">
        <f t="shared" ca="1" si="10"/>
        <v>3.3209329170207615</v>
      </c>
      <c r="L51" s="7">
        <f t="shared" ca="1" si="11"/>
        <v>0.12</v>
      </c>
      <c r="M51" s="7">
        <f t="shared" ca="1" si="11"/>
        <v>22.47</v>
      </c>
      <c r="N51" s="7">
        <f t="shared" ca="1" si="11"/>
        <v>3.32</v>
      </c>
      <c r="O51" s="5"/>
      <c r="P51" s="5">
        <f t="shared" ca="1" si="16"/>
        <v>22</v>
      </c>
      <c r="Q51" s="7">
        <f t="shared" ca="1" si="15"/>
        <v>0.14000000000000001</v>
      </c>
      <c r="R51" s="7">
        <f t="shared" ca="1" si="15"/>
        <v>0.12</v>
      </c>
      <c r="S51" s="7">
        <f t="shared" ca="1" si="15"/>
        <v>0.12</v>
      </c>
      <c r="T51" s="5"/>
      <c r="U51" s="5"/>
      <c r="V51" s="5">
        <v>60.290306776668004</v>
      </c>
    </row>
    <row r="52" spans="1:22">
      <c r="A52" s="7">
        <f t="shared" ca="1" si="0"/>
        <v>21.701903644524755</v>
      </c>
      <c r="B52" s="7">
        <f t="shared" ca="1" si="2"/>
        <v>0.16740621340855047</v>
      </c>
      <c r="C52" s="7">
        <f t="shared" ca="1" si="3"/>
        <v>0.10744908440568006</v>
      </c>
      <c r="D52" s="7">
        <f t="shared" ca="1" si="4"/>
        <v>0.17271571640703595</v>
      </c>
      <c r="E52" s="7">
        <f t="shared" ca="1" si="5"/>
        <v>0.11374999266333874</v>
      </c>
      <c r="F52" s="7">
        <f t="shared" ca="1" si="6"/>
        <v>0.12902927834316621</v>
      </c>
      <c r="G52" s="7">
        <f t="shared" ca="1" si="7"/>
        <v>0.12753346307995689</v>
      </c>
      <c r="H52">
        <v>46</v>
      </c>
      <c r="I52" s="7">
        <f t="shared" ca="1" si="8"/>
        <v>0.10744908440568006</v>
      </c>
      <c r="J52" s="7">
        <f t="shared" ca="1" si="9"/>
        <v>21.701903644524755</v>
      </c>
      <c r="K52" s="7">
        <f t="shared" ca="1" si="10"/>
        <v>3.2171124846903547</v>
      </c>
      <c r="L52" s="7">
        <f t="shared" ca="1" si="11"/>
        <v>0.11</v>
      </c>
      <c r="M52" s="7">
        <f t="shared" ca="1" si="11"/>
        <v>21.7</v>
      </c>
      <c r="N52" s="7">
        <f t="shared" ca="1" si="11"/>
        <v>3.22</v>
      </c>
      <c r="O52" s="5"/>
      <c r="P52" s="5">
        <f t="shared" ca="1" si="16"/>
        <v>22</v>
      </c>
      <c r="Q52" s="7">
        <f t="shared" ca="1" si="15"/>
        <v>0.17</v>
      </c>
      <c r="R52" s="7">
        <f t="shared" ca="1" si="15"/>
        <v>0.11</v>
      </c>
      <c r="S52" s="7">
        <f t="shared" ca="1" si="15"/>
        <v>0.17</v>
      </c>
      <c r="T52" s="5"/>
      <c r="U52" s="5"/>
      <c r="V52" s="5">
        <v>57.075556257998976</v>
      </c>
    </row>
    <row r="53" spans="1:22">
      <c r="A53" s="7">
        <f t="shared" ca="1" si="0"/>
        <v>24.564617507983598</v>
      </c>
      <c r="B53" s="7">
        <f t="shared" ca="1" si="2"/>
        <v>0.10559139559644348</v>
      </c>
      <c r="C53" s="7">
        <f t="shared" ca="1" si="3"/>
        <v>0.11325361448187143</v>
      </c>
      <c r="D53" s="7">
        <f t="shared" ca="1" si="4"/>
        <v>0.11084515195790594</v>
      </c>
      <c r="E53" s="7">
        <f t="shared" ca="1" si="5"/>
        <v>0.1347509742399656</v>
      </c>
      <c r="F53" s="7">
        <f t="shared" ca="1" si="6"/>
        <v>0.13843556973241961</v>
      </c>
      <c r="G53" s="7">
        <f t="shared" ca="1" si="7"/>
        <v>0.19000457443799523</v>
      </c>
      <c r="H53" s="5">
        <v>47</v>
      </c>
      <c r="I53" s="7">
        <f t="shared" ca="1" si="8"/>
        <v>0.10559139559644348</v>
      </c>
      <c r="J53" s="7">
        <f t="shared" ca="1" si="9"/>
        <v>24.564617507983598</v>
      </c>
      <c r="K53" s="7">
        <f t="shared" ca="1" si="10"/>
        <v>3.6224998269186002</v>
      </c>
      <c r="L53" s="7">
        <f t="shared" ca="1" si="11"/>
        <v>0.11</v>
      </c>
      <c r="M53" s="7">
        <f t="shared" ca="1" si="11"/>
        <v>24.56</v>
      </c>
      <c r="N53" s="7">
        <f t="shared" ca="1" si="11"/>
        <v>3.62</v>
      </c>
      <c r="O53" s="5"/>
      <c r="P53" s="5">
        <f t="shared" ca="1" si="16"/>
        <v>25</v>
      </c>
      <c r="Q53" s="7">
        <f t="shared" ref="Q53:S71" ca="1" si="17">ROUND(B53,2)</f>
        <v>0.11</v>
      </c>
      <c r="R53" s="7">
        <f t="shared" ca="1" si="17"/>
        <v>0.11</v>
      </c>
      <c r="S53" s="7">
        <f t="shared" ca="1" si="17"/>
        <v>0.11</v>
      </c>
      <c r="T53" s="5"/>
      <c r="U53" s="5"/>
      <c r="V53" s="5">
        <v>60.358251354360853</v>
      </c>
    </row>
    <row r="54" spans="1:22">
      <c r="A54" s="7">
        <f t="shared" ca="1" si="0"/>
        <v>20.719020988803361</v>
      </c>
      <c r="B54" s="7">
        <f t="shared" ca="1" si="2"/>
        <v>0.14520082505134591</v>
      </c>
      <c r="C54" s="7">
        <f t="shared" ca="1" si="3"/>
        <v>0.11303543326993266</v>
      </c>
      <c r="D54" s="7">
        <f t="shared" ca="1" si="4"/>
        <v>0.11162219678508982</v>
      </c>
      <c r="E54" s="7">
        <f t="shared" ca="1" si="5"/>
        <v>0.10623824232483513</v>
      </c>
      <c r="F54" s="7">
        <f t="shared" ca="1" si="6"/>
        <v>0.10438316479323995</v>
      </c>
      <c r="G54" s="7">
        <f t="shared" ca="1" si="7"/>
        <v>0.14867107700660845</v>
      </c>
      <c r="H54">
        <v>48</v>
      </c>
      <c r="I54" s="7">
        <f t="shared" ca="1" si="8"/>
        <v>0.10438316479323995</v>
      </c>
      <c r="J54" s="7">
        <f t="shared" ca="1" si="9"/>
        <v>20.719020988803361</v>
      </c>
      <c r="K54" s="7">
        <f t="shared" ca="1" si="10"/>
        <v>3.064024561147773</v>
      </c>
      <c r="L54" s="7">
        <f t="shared" ca="1" si="11"/>
        <v>0.1</v>
      </c>
      <c r="M54" s="7">
        <f t="shared" ca="1" si="11"/>
        <v>20.72</v>
      </c>
      <c r="N54" s="7">
        <f t="shared" ca="1" si="11"/>
        <v>3.06</v>
      </c>
      <c r="O54" s="5"/>
      <c r="P54" s="5">
        <f t="shared" ca="1" si="16"/>
        <v>21</v>
      </c>
      <c r="Q54" s="7">
        <f t="shared" ca="1" si="17"/>
        <v>0.15</v>
      </c>
      <c r="R54" s="7">
        <f t="shared" ca="1" si="17"/>
        <v>0.11</v>
      </c>
      <c r="S54" s="7">
        <f t="shared" ca="1" si="17"/>
        <v>0.11</v>
      </c>
      <c r="T54" s="5"/>
      <c r="U54" s="5"/>
      <c r="V54" s="5">
        <v>60.019437508122479</v>
      </c>
    </row>
    <row r="55" spans="1:22">
      <c r="A55" s="7">
        <f t="shared" ca="1" si="0"/>
        <v>23.755789075758258</v>
      </c>
      <c r="B55" s="7">
        <f t="shared" ca="1" si="2"/>
        <v>0.17591933239289193</v>
      </c>
      <c r="C55" s="7">
        <f t="shared" ca="1" si="3"/>
        <v>0.11564348875766142</v>
      </c>
      <c r="D55" s="7">
        <f t="shared" ca="1" si="4"/>
        <v>0.15634951233027464</v>
      </c>
      <c r="E55" s="7">
        <f t="shared" ca="1" si="5"/>
        <v>0.1230668339411472</v>
      </c>
      <c r="F55" s="7">
        <f t="shared" ca="1" si="6"/>
        <v>0.12003395367057956</v>
      </c>
      <c r="G55" s="7">
        <f t="shared" ca="1" si="7"/>
        <v>0.20628954372563152</v>
      </c>
      <c r="H55" s="5">
        <v>49</v>
      </c>
      <c r="I55" s="7">
        <f t="shared" ca="1" si="8"/>
        <v>0.11564348875766142</v>
      </c>
      <c r="J55" s="7">
        <f t="shared" ca="1" si="9"/>
        <v>23.755789075758258</v>
      </c>
      <c r="K55" s="7">
        <f t="shared" ca="1" si="10"/>
        <v>3.5218702486537774</v>
      </c>
      <c r="L55" s="7">
        <f t="shared" ca="1" si="11"/>
        <v>0.12</v>
      </c>
      <c r="M55" s="7">
        <f t="shared" ca="1" si="11"/>
        <v>23.76</v>
      </c>
      <c r="N55" s="7">
        <f t="shared" ca="1" si="11"/>
        <v>3.52</v>
      </c>
      <c r="O55" s="5"/>
      <c r="P55" s="5">
        <f t="shared" ca="1" si="16"/>
        <v>24</v>
      </c>
      <c r="Q55" s="7">
        <f t="shared" ca="1" si="17"/>
        <v>0.18</v>
      </c>
      <c r="R55" s="7">
        <f t="shared" ca="1" si="17"/>
        <v>0.12</v>
      </c>
      <c r="S55" s="7">
        <f t="shared" ca="1" si="17"/>
        <v>0.16</v>
      </c>
      <c r="T55" s="5"/>
      <c r="U55" s="5"/>
      <c r="V55" s="5">
        <v>56.435802629591279</v>
      </c>
    </row>
    <row r="56" spans="1:22">
      <c r="A56" s="7">
        <f t="shared" ca="1" si="0"/>
        <v>21.647911368082305</v>
      </c>
      <c r="B56" s="7">
        <f t="shared" ca="1" si="2"/>
        <v>0.10152167811280732</v>
      </c>
      <c r="C56" s="7">
        <f t="shared" ca="1" si="3"/>
        <v>0.13129834206576502</v>
      </c>
      <c r="D56" s="7">
        <f t="shared" ca="1" si="4"/>
        <v>0.18975227613080808</v>
      </c>
      <c r="E56" s="7">
        <f t="shared" ca="1" si="5"/>
        <v>0.10830188816753146</v>
      </c>
      <c r="F56" s="7">
        <f t="shared" ca="1" si="6"/>
        <v>0.16995618156661901</v>
      </c>
      <c r="G56" s="7">
        <f t="shared" ca="1" si="7"/>
        <v>0.15646957317641064</v>
      </c>
      <c r="H56">
        <v>50</v>
      </c>
      <c r="I56" s="7">
        <f t="shared" ca="1" si="8"/>
        <v>0.10152167811280732</v>
      </c>
      <c r="J56" s="7">
        <f t="shared" ca="1" si="9"/>
        <v>21.647911368082305</v>
      </c>
      <c r="K56" s="7">
        <f t="shared" ca="1" si="10"/>
        <v>3.2150301867574633</v>
      </c>
      <c r="L56" s="7">
        <f t="shared" ca="1" si="11"/>
        <v>0.1</v>
      </c>
      <c r="M56" s="7">
        <f t="shared" ca="1" si="11"/>
        <v>21.65</v>
      </c>
      <c r="N56" s="7">
        <f t="shared" ca="1" si="11"/>
        <v>3.22</v>
      </c>
      <c r="O56" s="5"/>
      <c r="P56" s="5">
        <f t="shared" ca="1" si="16"/>
        <v>22</v>
      </c>
      <c r="Q56" s="7">
        <f t="shared" ca="1" si="17"/>
        <v>0.1</v>
      </c>
      <c r="R56" s="7">
        <f t="shared" ca="1" si="17"/>
        <v>0.13</v>
      </c>
      <c r="S56" s="7">
        <f t="shared" ca="1" si="17"/>
        <v>0.19</v>
      </c>
      <c r="T56" s="5"/>
      <c r="U56" s="5"/>
      <c r="V56" s="5">
        <v>55.295801534871025</v>
      </c>
    </row>
    <row r="57" spans="1:22">
      <c r="A57" s="7">
        <f t="shared" ca="1" si="0"/>
        <v>20.819402959652002</v>
      </c>
      <c r="B57" s="7">
        <f t="shared" ca="1" si="2"/>
        <v>0.15589861131259883</v>
      </c>
      <c r="C57" s="7">
        <f t="shared" ca="1" si="3"/>
        <v>0.13580915988179437</v>
      </c>
      <c r="D57" s="7">
        <f t="shared" ca="1" si="4"/>
        <v>0.10794464325770738</v>
      </c>
      <c r="E57" s="7">
        <f t="shared" ca="1" si="5"/>
        <v>0.10295960398711242</v>
      </c>
      <c r="F57" s="7">
        <f t="shared" ca="1" si="6"/>
        <v>0.13312528627042897</v>
      </c>
      <c r="G57" s="7">
        <f t="shared" ca="1" si="7"/>
        <v>0.18363341466255045</v>
      </c>
      <c r="H57" s="5">
        <v>51</v>
      </c>
      <c r="I57" s="7">
        <f t="shared" ca="1" si="8"/>
        <v>0.10295960398711242</v>
      </c>
      <c r="J57" s="7">
        <f t="shared" ca="1" si="9"/>
        <v>20.819402959652002</v>
      </c>
      <c r="K57" s="7">
        <f t="shared" ca="1" si="10"/>
        <v>3.091253382717742</v>
      </c>
      <c r="P57" s="5">
        <f t="shared" ca="1" si="16"/>
        <v>21</v>
      </c>
      <c r="Q57" s="7">
        <f t="shared" ca="1" si="17"/>
        <v>0.16</v>
      </c>
      <c r="R57" s="7">
        <f t="shared" ca="1" si="17"/>
        <v>0.14000000000000001</v>
      </c>
      <c r="S57" s="7">
        <f t="shared" ca="1" si="17"/>
        <v>0.11</v>
      </c>
      <c r="T57" s="5"/>
      <c r="U57" s="5"/>
      <c r="V57" s="5"/>
    </row>
    <row r="58" spans="1:22">
      <c r="A58" s="7">
        <f t="shared" ca="1" si="0"/>
        <v>20.275395723564149</v>
      </c>
      <c r="B58" s="7">
        <f t="shared" ca="1" si="2"/>
        <v>0.17178886152979506</v>
      </c>
      <c r="C58" s="7">
        <f t="shared" ca="1" si="3"/>
        <v>0.10671462172443488</v>
      </c>
      <c r="D58" s="7">
        <f t="shared" ca="1" si="4"/>
        <v>0.16610236817085802</v>
      </c>
      <c r="E58" s="7">
        <f t="shared" ca="1" si="5"/>
        <v>0.14062416774180816</v>
      </c>
      <c r="F58" s="7">
        <f t="shared" ca="1" si="6"/>
        <v>0.12066443127257795</v>
      </c>
      <c r="G58" s="7">
        <f t="shared" ca="1" si="7"/>
        <v>0.15167085456823565</v>
      </c>
      <c r="H58">
        <v>52</v>
      </c>
      <c r="I58" s="7">
        <f t="shared" ca="1" si="8"/>
        <v>0.10671462172443488</v>
      </c>
      <c r="J58" s="7">
        <f t="shared" ca="1" si="9"/>
        <v>20.275395723564149</v>
      </c>
      <c r="K58" s="7">
        <f t="shared" ca="1" si="10"/>
        <v>3.0189944326531224</v>
      </c>
      <c r="P58" s="5">
        <f t="shared" ca="1" si="16"/>
        <v>20</v>
      </c>
      <c r="Q58" s="7">
        <f t="shared" ca="1" si="17"/>
        <v>0.17</v>
      </c>
      <c r="R58" s="7">
        <f t="shared" ca="1" si="17"/>
        <v>0.11</v>
      </c>
      <c r="S58" s="7">
        <f t="shared" ca="1" si="17"/>
        <v>0.17</v>
      </c>
      <c r="T58" s="5"/>
      <c r="U58" s="5"/>
      <c r="V58" s="5"/>
    </row>
    <row r="59" spans="1:22">
      <c r="A59" s="7">
        <f t="shared" ca="1" si="0"/>
        <v>19.77413012539153</v>
      </c>
      <c r="B59" s="7">
        <f t="shared" ca="1" si="2"/>
        <v>0.17808855264143097</v>
      </c>
      <c r="C59" s="7">
        <f t="shared" ca="1" si="3"/>
        <v>0.13515790572357256</v>
      </c>
      <c r="D59" s="7">
        <f t="shared" ca="1" si="4"/>
        <v>0.13188803794889709</v>
      </c>
      <c r="E59" s="7">
        <f t="shared" ca="1" si="5"/>
        <v>0.1144616874652018</v>
      </c>
      <c r="F59" s="7">
        <f t="shared" ca="1" si="6"/>
        <v>0.10219811288328061</v>
      </c>
      <c r="G59" s="7">
        <f t="shared" ca="1" si="7"/>
        <v>0.18784602221926938</v>
      </c>
      <c r="H59" s="5">
        <v>53</v>
      </c>
      <c r="I59" s="7">
        <f t="shared" ca="1" si="8"/>
        <v>0.10219811288328061</v>
      </c>
      <c r="J59" s="7">
        <f t="shared" ca="1" si="9"/>
        <v>19.77413012539153</v>
      </c>
      <c r="K59" s="7">
        <f t="shared" ca="1" si="10"/>
        <v>2.9462529206104544</v>
      </c>
      <c r="P59" s="5">
        <f t="shared" ca="1" si="16"/>
        <v>20</v>
      </c>
      <c r="Q59" s="7">
        <f t="shared" ca="1" si="17"/>
        <v>0.18</v>
      </c>
      <c r="R59" s="7">
        <f t="shared" ca="1" si="17"/>
        <v>0.14000000000000001</v>
      </c>
      <c r="S59" s="7">
        <f t="shared" ca="1" si="17"/>
        <v>0.13</v>
      </c>
      <c r="T59" s="5"/>
      <c r="U59" s="5"/>
      <c r="V59" s="5"/>
    </row>
    <row r="60" spans="1:22">
      <c r="A60" s="7">
        <f t="shared" ca="1" si="0"/>
        <v>20.15182651006727</v>
      </c>
      <c r="B60" s="25">
        <f t="shared" ca="1" si="2"/>
        <v>0.12719072128783668</v>
      </c>
      <c r="C60" s="7">
        <f t="shared" ca="1" si="3"/>
        <v>0.12794896877366391</v>
      </c>
      <c r="D60" s="7">
        <f t="shared" ca="1" si="4"/>
        <v>0.13302277619170788</v>
      </c>
      <c r="E60" s="7">
        <f t="shared" ca="1" si="5"/>
        <v>0.1345070728003272</v>
      </c>
      <c r="F60" s="7">
        <f t="shared" ca="1" si="6"/>
        <v>0.10038108564057517</v>
      </c>
      <c r="G60" s="7">
        <f t="shared" ca="1" si="7"/>
        <v>0.15562984229381183</v>
      </c>
      <c r="H60">
        <v>54</v>
      </c>
      <c r="I60" s="7">
        <f t="shared" ca="1" si="8"/>
        <v>0.10038108564057517</v>
      </c>
      <c r="J60" s="7">
        <f t="shared" ca="1" si="9"/>
        <v>20.15182651006727</v>
      </c>
      <c r="K60" s="7">
        <f t="shared" ca="1" si="10"/>
        <v>2.9900724252935995</v>
      </c>
      <c r="P60" s="5">
        <f t="shared" ca="1" si="16"/>
        <v>20</v>
      </c>
      <c r="Q60" s="7">
        <f t="shared" ca="1" si="17"/>
        <v>0.13</v>
      </c>
      <c r="R60" s="7">
        <f t="shared" ca="1" si="17"/>
        <v>0.13</v>
      </c>
      <c r="S60" s="7">
        <f t="shared" ca="1" si="17"/>
        <v>0.13</v>
      </c>
      <c r="T60" s="5"/>
      <c r="U60" s="5"/>
      <c r="V60" s="5"/>
    </row>
    <row r="61" spans="1:22">
      <c r="A61" s="7">
        <f t="shared" ca="1" si="0"/>
        <v>21.019480837543412</v>
      </c>
      <c r="B61" s="7">
        <f t="shared" ca="1" si="2"/>
        <v>0.12952923269231015</v>
      </c>
      <c r="C61" s="7">
        <f t="shared" ca="1" si="3"/>
        <v>0.13709059175520205</v>
      </c>
      <c r="D61" s="7">
        <f t="shared" ca="1" si="4"/>
        <v>0.14826896986548177</v>
      </c>
      <c r="E61" s="7">
        <f t="shared" ca="1" si="5"/>
        <v>0.11782341468005297</v>
      </c>
      <c r="F61" s="7">
        <f t="shared" ca="1" si="6"/>
        <v>0.13176624927574165</v>
      </c>
      <c r="G61" s="7">
        <f t="shared" ca="1" si="7"/>
        <v>0.1849377686930509</v>
      </c>
      <c r="H61" s="5">
        <v>55</v>
      </c>
      <c r="I61" s="7">
        <f t="shared" ca="1" si="8"/>
        <v>0.11782341468005297</v>
      </c>
      <c r="J61" s="7">
        <f t="shared" ca="1" si="9"/>
        <v>21.019480837543412</v>
      </c>
      <c r="K61" s="7">
        <f t="shared" ca="1" si="10"/>
        <v>3.1241281520721786</v>
      </c>
      <c r="P61" s="5">
        <f t="shared" ca="1" si="16"/>
        <v>21</v>
      </c>
      <c r="Q61" s="7">
        <f t="shared" ca="1" si="17"/>
        <v>0.13</v>
      </c>
      <c r="R61" s="7">
        <f t="shared" ca="1" si="17"/>
        <v>0.14000000000000001</v>
      </c>
      <c r="S61" s="7">
        <f t="shared" ca="1" si="17"/>
        <v>0.15</v>
      </c>
      <c r="T61" s="5"/>
      <c r="U61" s="5"/>
      <c r="V61" s="5"/>
    </row>
    <row r="62" spans="1:22">
      <c r="A62" s="7">
        <f t="shared" ca="1" si="0"/>
        <v>18.825719665851224</v>
      </c>
      <c r="B62" s="7">
        <f t="shared" ca="1" si="2"/>
        <v>0.16313509035774248</v>
      </c>
      <c r="C62" s="7">
        <f t="shared" ca="1" si="3"/>
        <v>0.11842913761155724</v>
      </c>
      <c r="D62" s="7">
        <f t="shared" ca="1" si="4"/>
        <v>0.15855912492492352</v>
      </c>
      <c r="E62" s="7">
        <f t="shared" ca="1" si="5"/>
        <v>0.11599681945404818</v>
      </c>
      <c r="F62" s="7">
        <f t="shared" ca="1" si="6"/>
        <v>0.11782471089822204</v>
      </c>
      <c r="G62" s="7">
        <f t="shared" ca="1" si="7"/>
        <v>0.20947400714435782</v>
      </c>
      <c r="H62">
        <v>56</v>
      </c>
      <c r="I62" s="7">
        <f t="shared" ca="1" si="8"/>
        <v>0.11599681945404818</v>
      </c>
      <c r="J62" s="7">
        <f t="shared" ca="1" si="9"/>
        <v>18.825719665851224</v>
      </c>
      <c r="K62" s="7">
        <f t="shared" ca="1" si="10"/>
        <v>2.8155912223202963</v>
      </c>
      <c r="P62" s="5">
        <f t="shared" ca="1" si="16"/>
        <v>19</v>
      </c>
      <c r="Q62" s="7">
        <f t="shared" ca="1" si="17"/>
        <v>0.16</v>
      </c>
      <c r="R62" s="7">
        <f t="shared" ca="1" si="17"/>
        <v>0.12</v>
      </c>
      <c r="S62" s="7">
        <f t="shared" ca="1" si="17"/>
        <v>0.16</v>
      </c>
      <c r="T62" s="5"/>
      <c r="U62" s="5"/>
      <c r="V62" s="5"/>
    </row>
    <row r="63" spans="1:22">
      <c r="A63" s="7">
        <f t="shared" ca="1" si="0"/>
        <v>23.699223112804813</v>
      </c>
      <c r="B63" s="7">
        <f t="shared" ca="1" si="2"/>
        <v>0.13748696080359812</v>
      </c>
      <c r="C63" s="7">
        <f t="shared" ca="1" si="3"/>
        <v>0.12511413047401174</v>
      </c>
      <c r="D63" s="7">
        <f t="shared" ca="1" si="4"/>
        <v>0.14116666000537745</v>
      </c>
      <c r="E63" s="7">
        <f t="shared" ca="1" si="5"/>
        <v>0.11205775973823688</v>
      </c>
      <c r="F63" s="7">
        <f t="shared" ca="1" si="6"/>
        <v>0.14996607729127789</v>
      </c>
      <c r="G63" s="7">
        <f t="shared" ca="1" si="7"/>
        <v>0.15453090481063347</v>
      </c>
      <c r="H63" s="5">
        <v>57</v>
      </c>
      <c r="I63" s="7">
        <f t="shared" ca="1" si="8"/>
        <v>0.11205775973823688</v>
      </c>
      <c r="J63" s="7">
        <f t="shared" ca="1" si="9"/>
        <v>23.699223112804813</v>
      </c>
      <c r="K63" s="7">
        <f t="shared" ca="1" si="10"/>
        <v>3.5027922294182789</v>
      </c>
      <c r="P63" s="5">
        <f t="shared" ca="1" si="16"/>
        <v>24</v>
      </c>
      <c r="Q63" s="7">
        <f t="shared" ca="1" si="17"/>
        <v>0.14000000000000001</v>
      </c>
      <c r="R63" s="7">
        <f t="shared" ca="1" si="17"/>
        <v>0.13</v>
      </c>
      <c r="S63" s="7">
        <f t="shared" ca="1" si="17"/>
        <v>0.14000000000000001</v>
      </c>
      <c r="T63" s="5"/>
      <c r="U63" s="5"/>
      <c r="V63" s="5"/>
    </row>
    <row r="64" spans="1:22">
      <c r="A64" s="7">
        <f t="shared" ca="1" si="0"/>
        <v>22.66714676083722</v>
      </c>
      <c r="B64" s="7">
        <f t="shared" ca="1" si="2"/>
        <v>0.13827018985422584</v>
      </c>
      <c r="C64" s="7">
        <f t="shared" ca="1" si="3"/>
        <v>0.12216119502735978</v>
      </c>
      <c r="D64" s="7">
        <f t="shared" ca="1" si="4"/>
        <v>0.17081935510338742</v>
      </c>
      <c r="E64" s="7">
        <f t="shared" ca="1" si="5"/>
        <v>0.13607521581943693</v>
      </c>
      <c r="F64" s="7">
        <f t="shared" ca="1" si="6"/>
        <v>0.14488337054070005</v>
      </c>
      <c r="G64" s="7">
        <f t="shared" ca="1" si="7"/>
        <v>0.17849924559845565</v>
      </c>
      <c r="H64">
        <v>58</v>
      </c>
      <c r="I64" s="7">
        <f t="shared" ca="1" si="8"/>
        <v>0.12216119502735978</v>
      </c>
      <c r="J64" s="7">
        <f t="shared" ca="1" si="9"/>
        <v>22.66714676083722</v>
      </c>
      <c r="K64" s="7">
        <f t="shared" ca="1" si="10"/>
        <v>3.3654079046829688</v>
      </c>
      <c r="P64" s="5">
        <f t="shared" ca="1" si="16"/>
        <v>23</v>
      </c>
      <c r="Q64" s="7">
        <f t="shared" ca="1" si="17"/>
        <v>0.14000000000000001</v>
      </c>
      <c r="R64" s="7">
        <f t="shared" ca="1" si="17"/>
        <v>0.12</v>
      </c>
      <c r="S64" s="7">
        <f t="shared" ca="1" si="17"/>
        <v>0.17</v>
      </c>
    </row>
    <row r="65" spans="1:19">
      <c r="A65" s="7">
        <f t="shared" ca="1" si="0"/>
        <v>24.936582374199698</v>
      </c>
      <c r="B65" s="7">
        <f t="shared" ca="1" si="2"/>
        <v>0.17700502409187058</v>
      </c>
      <c r="C65" s="7">
        <f t="shared" ca="1" si="3"/>
        <v>0.12833076725158099</v>
      </c>
      <c r="D65" s="7">
        <f t="shared" ca="1" si="4"/>
        <v>0.16702522066699374</v>
      </c>
      <c r="E65" s="7">
        <f t="shared" ca="1" si="5"/>
        <v>0.10715317639250276</v>
      </c>
      <c r="F65" s="7">
        <f t="shared" ca="1" si="6"/>
        <v>0.10310417413246037</v>
      </c>
      <c r="G65" s="7">
        <f t="shared" ca="1" si="7"/>
        <v>0.19699705637980636</v>
      </c>
      <c r="H65" s="5">
        <v>59</v>
      </c>
      <c r="I65" s="7">
        <f t="shared" ca="1" si="8"/>
        <v>0.10310417413246037</v>
      </c>
      <c r="J65" s="7">
        <f t="shared" ca="1" si="9"/>
        <v>24.936582374199698</v>
      </c>
      <c r="K65" s="7">
        <f t="shared" ca="1" si="10"/>
        <v>3.6880282561592734</v>
      </c>
      <c r="P65" s="5">
        <f t="shared" ca="1" si="16"/>
        <v>25</v>
      </c>
      <c r="Q65" s="7">
        <f t="shared" ca="1" si="17"/>
        <v>0.18</v>
      </c>
      <c r="R65" s="7">
        <f t="shared" ca="1" si="17"/>
        <v>0.13</v>
      </c>
      <c r="S65" s="7">
        <f t="shared" ca="1" si="17"/>
        <v>0.17</v>
      </c>
    </row>
    <row r="66" spans="1:19">
      <c r="A66" s="7">
        <f t="shared" ca="1" si="0"/>
        <v>20.503879657956762</v>
      </c>
      <c r="B66" s="7">
        <f t="shared" ca="1" si="2"/>
        <v>0.14485848254214809</v>
      </c>
      <c r="C66" s="7">
        <f t="shared" ca="1" si="3"/>
        <v>0.12566902766968396</v>
      </c>
      <c r="D66" s="7">
        <f t="shared" ca="1" si="4"/>
        <v>0.11159541098604928</v>
      </c>
      <c r="E66" s="7">
        <f t="shared" ca="1" si="5"/>
        <v>0.13171843044594028</v>
      </c>
      <c r="F66" s="7">
        <f t="shared" ca="1" si="6"/>
        <v>0.11215939780849175</v>
      </c>
      <c r="G66" s="7">
        <f t="shared" ca="1" si="7"/>
        <v>0.17320052502961311</v>
      </c>
      <c r="H66">
        <v>60</v>
      </c>
      <c r="I66" s="7">
        <f t="shared" ca="1" si="8"/>
        <v>0.11159541098604928</v>
      </c>
      <c r="J66" s="7">
        <f t="shared" ca="1" si="9"/>
        <v>20.503879657956762</v>
      </c>
      <c r="K66" s="7">
        <f t="shared" ca="1" si="10"/>
        <v>3.0432972760626695</v>
      </c>
      <c r="P66" s="5">
        <f t="shared" ca="1" si="16"/>
        <v>21</v>
      </c>
      <c r="Q66" s="7">
        <f t="shared" ca="1" si="17"/>
        <v>0.14000000000000001</v>
      </c>
      <c r="R66" s="7">
        <f t="shared" ca="1" si="17"/>
        <v>0.13</v>
      </c>
      <c r="S66" s="7">
        <f t="shared" ca="1" si="17"/>
        <v>0.11</v>
      </c>
    </row>
    <row r="67" spans="1:19">
      <c r="A67" s="7">
        <f t="shared" ca="1" si="0"/>
        <v>20.97032970687745</v>
      </c>
      <c r="B67" s="7">
        <f t="shared" ca="1" si="2"/>
        <v>0.15598122989400048</v>
      </c>
      <c r="C67" s="7">
        <f t="shared" ca="1" si="3"/>
        <v>0.13770366642679099</v>
      </c>
      <c r="D67" s="7">
        <f t="shared" ca="1" si="4"/>
        <v>0.12104924906128016</v>
      </c>
      <c r="E67" s="7">
        <f t="shared" ca="1" si="5"/>
        <v>0.14148672034874574</v>
      </c>
      <c r="F67" s="7">
        <f t="shared" ca="1" si="6"/>
        <v>0.12368518389727666</v>
      </c>
      <c r="G67" s="7">
        <f t="shared" ca="1" si="7"/>
        <v>0.1866954247279759</v>
      </c>
      <c r="H67" s="5">
        <v>61</v>
      </c>
      <c r="I67" s="7">
        <f t="shared" ca="1" si="8"/>
        <v>0.12104924906128016</v>
      </c>
      <c r="J67" s="7">
        <f t="shared" ca="1" si="9"/>
        <v>20.97032970687745</v>
      </c>
      <c r="K67" s="7">
        <f t="shared" ca="1" si="10"/>
        <v>3.1195615973190738</v>
      </c>
      <c r="P67" s="5">
        <f t="shared" ca="1" si="16"/>
        <v>21</v>
      </c>
      <c r="Q67" s="7">
        <f t="shared" ca="1" si="17"/>
        <v>0.16</v>
      </c>
      <c r="R67" s="7">
        <f t="shared" ca="1" si="17"/>
        <v>0.14000000000000001</v>
      </c>
      <c r="S67" s="7">
        <f t="shared" ca="1" si="17"/>
        <v>0.12</v>
      </c>
    </row>
    <row r="68" spans="1:19">
      <c r="A68" s="7">
        <f t="shared" ca="1" si="0"/>
        <v>19.097476896657056</v>
      </c>
      <c r="B68" s="7">
        <f t="shared" ca="1" si="2"/>
        <v>0.13994655470679038</v>
      </c>
      <c r="C68" s="7">
        <f t="shared" ca="1" si="3"/>
        <v>0.12255687221357407</v>
      </c>
      <c r="D68" s="7">
        <f t="shared" ca="1" si="4"/>
        <v>0.15341107902078446</v>
      </c>
      <c r="E68" s="7">
        <f t="shared" ca="1" si="5"/>
        <v>0.14286917624156267</v>
      </c>
      <c r="F68" s="7">
        <f t="shared" ca="1" si="6"/>
        <v>0.13731531597608185</v>
      </c>
      <c r="G68" s="7">
        <f t="shared" ca="1" si="7"/>
        <v>0.13583696381384056</v>
      </c>
      <c r="H68">
        <v>62</v>
      </c>
      <c r="I68" s="7">
        <f t="shared" ca="1" si="8"/>
        <v>0.12255687221357407</v>
      </c>
      <c r="J68" s="7">
        <f t="shared" ca="1" si="9"/>
        <v>19.097476896657056</v>
      </c>
      <c r="K68" s="7">
        <f t="shared" ca="1" si="10"/>
        <v>2.8470589798042414</v>
      </c>
      <c r="P68" s="5">
        <f t="shared" ca="1" si="16"/>
        <v>19</v>
      </c>
      <c r="Q68" s="7">
        <f t="shared" ca="1" si="17"/>
        <v>0.14000000000000001</v>
      </c>
      <c r="R68" s="7">
        <f t="shared" ca="1" si="17"/>
        <v>0.12</v>
      </c>
      <c r="S68" s="7">
        <f t="shared" ca="1" si="17"/>
        <v>0.15</v>
      </c>
    </row>
    <row r="69" spans="1:19">
      <c r="A69" s="7">
        <f t="shared" ca="1" si="0"/>
        <v>23.857125448021783</v>
      </c>
      <c r="B69" s="7">
        <f t="shared" ca="1" si="2"/>
        <v>0.10621988331145868</v>
      </c>
      <c r="C69" s="7">
        <f t="shared" ca="1" si="3"/>
        <v>0.1251283816983868</v>
      </c>
      <c r="D69" s="7">
        <f t="shared" ca="1" si="4"/>
        <v>0.16451470985755451</v>
      </c>
      <c r="E69" s="7">
        <f t="shared" ca="1" si="5"/>
        <v>0.10857266633649117</v>
      </c>
      <c r="F69" s="7">
        <f t="shared" ca="1" si="6"/>
        <v>0.11287083861101468</v>
      </c>
      <c r="G69" s="7">
        <f t="shared" ca="1" si="7"/>
        <v>0.13562869538576103</v>
      </c>
      <c r="H69" s="5">
        <v>63</v>
      </c>
      <c r="I69" s="7">
        <f t="shared" ca="1" si="8"/>
        <v>0.10621988331145868</v>
      </c>
      <c r="J69" s="7">
        <f t="shared" ca="1" si="9"/>
        <v>23.857125448021783</v>
      </c>
      <c r="K69" s="7">
        <f t="shared" ca="1" si="10"/>
        <v>3.5157229461746353</v>
      </c>
      <c r="P69" s="5">
        <f t="shared" ca="1" si="16"/>
        <v>24</v>
      </c>
      <c r="Q69" s="7">
        <f t="shared" ca="1" si="17"/>
        <v>0.11</v>
      </c>
      <c r="R69" s="7">
        <f t="shared" ca="1" si="17"/>
        <v>0.13</v>
      </c>
      <c r="S69" s="7">
        <f t="shared" ca="1" si="17"/>
        <v>0.16</v>
      </c>
    </row>
    <row r="70" spans="1:19">
      <c r="A70" s="7">
        <f t="shared" ca="1" si="0"/>
        <v>24.633012188449111</v>
      </c>
      <c r="B70" s="7">
        <f t="shared" ca="1" si="2"/>
        <v>0.16240250898973946</v>
      </c>
      <c r="C70" s="7">
        <f t="shared" ca="1" si="3"/>
        <v>0.12989082877727284</v>
      </c>
      <c r="D70" s="7">
        <f t="shared" ca="1" si="4"/>
        <v>0.10663503397872418</v>
      </c>
      <c r="E70" s="7">
        <f t="shared" ca="1" si="5"/>
        <v>0.12359503576931456</v>
      </c>
      <c r="F70" s="7">
        <f t="shared" ca="1" si="6"/>
        <v>0.10901966346913905</v>
      </c>
      <c r="G70" s="7">
        <f t="shared" ca="1" si="7"/>
        <v>0.12045255009957359</v>
      </c>
      <c r="H70">
        <v>64</v>
      </c>
      <c r="I70" s="7">
        <f t="shared" ca="1" si="8"/>
        <v>0.10663503397872418</v>
      </c>
      <c r="J70" s="7">
        <f t="shared" ca="1" si="9"/>
        <v>24.633012188449111</v>
      </c>
      <c r="K70" s="7">
        <f t="shared" ca="1" si="10"/>
        <v>3.6264296870761252</v>
      </c>
      <c r="P70" s="5">
        <f t="shared" ca="1" si="16"/>
        <v>25</v>
      </c>
      <c r="Q70" s="7">
        <f t="shared" ca="1" si="17"/>
        <v>0.16</v>
      </c>
      <c r="R70" s="7">
        <f t="shared" ca="1" si="17"/>
        <v>0.13</v>
      </c>
      <c r="S70" s="7">
        <f t="shared" ca="1" si="17"/>
        <v>0.11</v>
      </c>
    </row>
    <row r="71" spans="1:19">
      <c r="A71" s="7">
        <f t="shared" ref="A71:A134" ca="1" si="18">RAND()*($A$5-$A$4)+$A$4</f>
        <v>21.379141372093905</v>
      </c>
      <c r="B71" s="7">
        <f t="shared" ca="1" si="2"/>
        <v>0.14972941189391933</v>
      </c>
      <c r="C71" s="7">
        <f t="shared" ca="1" si="3"/>
        <v>0.12914059144263201</v>
      </c>
      <c r="D71" s="7">
        <f t="shared" ca="1" si="4"/>
        <v>0.17301902617402237</v>
      </c>
      <c r="E71" s="7">
        <f t="shared" ca="1" si="5"/>
        <v>0.11725328578079597</v>
      </c>
      <c r="F71" s="7">
        <f t="shared" ca="1" si="6"/>
        <v>0.1678517104683728</v>
      </c>
      <c r="G71" s="7">
        <f t="shared" ca="1" si="7"/>
        <v>0.10766919722665667</v>
      </c>
      <c r="H71" s="5">
        <v>65</v>
      </c>
      <c r="I71" s="7">
        <f t="shared" ca="1" si="8"/>
        <v>0.10766919722665667</v>
      </c>
      <c r="J71" s="7">
        <f t="shared" ca="1" si="9"/>
        <v>21.379141372093905</v>
      </c>
      <c r="K71" s="7">
        <f t="shared" ca="1" si="10"/>
        <v>3.1748292278686141</v>
      </c>
      <c r="P71" s="5">
        <f t="shared" ca="1" si="16"/>
        <v>21</v>
      </c>
      <c r="Q71" s="7">
        <f t="shared" ca="1" si="17"/>
        <v>0.15</v>
      </c>
      <c r="R71" s="7">
        <f t="shared" ca="1" si="17"/>
        <v>0.13</v>
      </c>
      <c r="S71" s="7">
        <f t="shared" ca="1" si="17"/>
        <v>0.17</v>
      </c>
    </row>
    <row r="72" spans="1:19">
      <c r="A72" s="7">
        <f t="shared" ca="1" si="18"/>
        <v>23.263835267449441</v>
      </c>
      <c r="B72" s="7">
        <f t="shared" ref="B72:B135" ca="1" si="19">RAND()*($B$5-$B$4)+$B$4</f>
        <v>0.10073046816484686</v>
      </c>
      <c r="C72" s="7">
        <f t="shared" ref="C72:C135" ca="1" si="20">RAND()*($C$5-$C$4)+$C$4</f>
        <v>0.10440255056259527</v>
      </c>
      <c r="D72" s="7">
        <f t="shared" ref="D72:D135" ca="1" si="21">RAND()*($D$5-$D$4)+$D$4</f>
        <v>0.14437211621646706</v>
      </c>
      <c r="E72" s="7">
        <f t="shared" ref="E72:E135" ca="1" si="22">RAND()*($E$5-$E$4)+$E$4</f>
        <v>0.12224110331564378</v>
      </c>
      <c r="F72" s="7">
        <f t="shared" ref="F72:F135" ca="1" si="23">RAND()*($F$5-$F$4)+$F$4</f>
        <v>0.1443862791973515</v>
      </c>
      <c r="G72" s="7">
        <f t="shared" ref="G72:G135" ca="1" si="24">RAND()*($G$5-$G$4)+$G$4</f>
        <v>0.13925147615523964</v>
      </c>
      <c r="H72">
        <v>66</v>
      </c>
      <c r="I72" s="7">
        <f t="shared" ref="I72:I134" ca="1" si="25">MIN(A72:G72)</f>
        <v>0.10073046816484686</v>
      </c>
      <c r="J72" s="7">
        <f t="shared" ref="J72:J134" ca="1" si="26">MAX(A72:G72)</f>
        <v>23.263835267449441</v>
      </c>
      <c r="K72" s="7">
        <f t="shared" ref="K72:K134" ca="1" si="27">AVERAGE(A72:G72)</f>
        <v>3.4313170372945128</v>
      </c>
    </row>
    <row r="73" spans="1:19">
      <c r="A73" s="7">
        <f t="shared" ca="1" si="18"/>
        <v>22.62415483088364</v>
      </c>
      <c r="B73" s="7">
        <f t="shared" ca="1" si="19"/>
        <v>0.14880568348908613</v>
      </c>
      <c r="C73" s="7">
        <f t="shared" ca="1" si="20"/>
        <v>0.1046825515879914</v>
      </c>
      <c r="D73" s="7">
        <f t="shared" ca="1" si="21"/>
        <v>0.14649358331831616</v>
      </c>
      <c r="E73" s="7">
        <f t="shared" ca="1" si="22"/>
        <v>0.13845772147885888</v>
      </c>
      <c r="F73" s="7">
        <f t="shared" ca="1" si="23"/>
        <v>0.12748797051447527</v>
      </c>
      <c r="G73" s="7">
        <f t="shared" ca="1" si="24"/>
        <v>0.13686204602130408</v>
      </c>
      <c r="H73" s="5">
        <v>67</v>
      </c>
      <c r="I73" s="7">
        <f t="shared" ca="1" si="25"/>
        <v>0.1046825515879914</v>
      </c>
      <c r="J73" s="7">
        <f t="shared" ca="1" si="26"/>
        <v>22.62415483088364</v>
      </c>
      <c r="K73" s="7">
        <f t="shared" ca="1" si="27"/>
        <v>3.3467063410419535</v>
      </c>
    </row>
    <row r="74" spans="1:19">
      <c r="A74" s="7">
        <f t="shared" ca="1" si="18"/>
        <v>19.813887352457275</v>
      </c>
      <c r="B74" s="7">
        <f t="shared" ca="1" si="19"/>
        <v>0.10106277454838203</v>
      </c>
      <c r="C74" s="7">
        <f t="shared" ca="1" si="20"/>
        <v>0.12743606097519586</v>
      </c>
      <c r="D74" s="7">
        <f t="shared" ca="1" si="21"/>
        <v>0.13982609711162031</v>
      </c>
      <c r="E74" s="7">
        <f t="shared" ca="1" si="22"/>
        <v>0.10809990073102538</v>
      </c>
      <c r="F74" s="7">
        <f t="shared" ca="1" si="23"/>
        <v>0.13204420331521383</v>
      </c>
      <c r="G74" s="7">
        <f t="shared" ca="1" si="24"/>
        <v>0.11864877967847685</v>
      </c>
      <c r="H74">
        <v>68</v>
      </c>
      <c r="I74" s="7">
        <f t="shared" ca="1" si="25"/>
        <v>0.10106277454838203</v>
      </c>
      <c r="J74" s="7">
        <f t="shared" ca="1" si="26"/>
        <v>19.813887352457275</v>
      </c>
      <c r="K74" s="7">
        <f t="shared" ca="1" si="27"/>
        <v>2.9344293098310272</v>
      </c>
    </row>
    <row r="75" spans="1:19">
      <c r="A75" s="7">
        <f t="shared" ca="1" si="18"/>
        <v>25.592876771572257</v>
      </c>
      <c r="B75" s="7">
        <f t="shared" ca="1" si="19"/>
        <v>0.11665154096641364</v>
      </c>
      <c r="C75" s="7">
        <f t="shared" ca="1" si="20"/>
        <v>0.10805556881275265</v>
      </c>
      <c r="D75" s="7">
        <f t="shared" ca="1" si="21"/>
        <v>0.11680623481924438</v>
      </c>
      <c r="E75" s="7">
        <f t="shared" ca="1" si="22"/>
        <v>0.14256644731125442</v>
      </c>
      <c r="F75" s="7">
        <f t="shared" ca="1" si="23"/>
        <v>0.10795900056094614</v>
      </c>
      <c r="G75" s="7">
        <f t="shared" ca="1" si="24"/>
        <v>0.12358174476721065</v>
      </c>
      <c r="H75" s="5">
        <v>69</v>
      </c>
      <c r="I75" s="7">
        <f t="shared" ca="1" si="25"/>
        <v>0.10795900056094614</v>
      </c>
      <c r="J75" s="7">
        <f t="shared" ca="1" si="26"/>
        <v>25.592876771572257</v>
      </c>
      <c r="K75" s="7">
        <f t="shared" ca="1" si="27"/>
        <v>3.7583567584014395</v>
      </c>
    </row>
    <row r="76" spans="1:19">
      <c r="A76" s="7">
        <f t="shared" ca="1" si="18"/>
        <v>25.012288297046744</v>
      </c>
      <c r="B76" s="7">
        <f t="shared" ca="1" si="19"/>
        <v>0.10492051783230906</v>
      </c>
      <c r="C76" s="7">
        <f t="shared" ca="1" si="20"/>
        <v>0.1013374740313204</v>
      </c>
      <c r="D76" s="7">
        <f t="shared" ca="1" si="21"/>
        <v>0.1032290192370017</v>
      </c>
      <c r="E76" s="7">
        <f t="shared" ca="1" si="22"/>
        <v>0.12147880439309633</v>
      </c>
      <c r="F76" s="7">
        <f t="shared" ca="1" si="23"/>
        <v>0.13628029931217323</v>
      </c>
      <c r="G76" s="7">
        <f t="shared" ca="1" si="24"/>
        <v>0.16023587924007029</v>
      </c>
      <c r="H76">
        <v>70</v>
      </c>
      <c r="I76" s="7">
        <f t="shared" ca="1" si="25"/>
        <v>0.1013374740313204</v>
      </c>
      <c r="J76" s="7">
        <f t="shared" ca="1" si="26"/>
        <v>25.012288297046744</v>
      </c>
      <c r="K76" s="7">
        <f t="shared" ca="1" si="27"/>
        <v>3.6771100415846734</v>
      </c>
    </row>
    <row r="77" spans="1:19">
      <c r="A77" s="7">
        <f t="shared" ca="1" si="18"/>
        <v>18.23223761177881</v>
      </c>
      <c r="B77" s="7">
        <f t="shared" ca="1" si="19"/>
        <v>0.13175853706617607</v>
      </c>
      <c r="C77" s="7">
        <f t="shared" ca="1" si="20"/>
        <v>0.11290238746613208</v>
      </c>
      <c r="D77" s="7">
        <f t="shared" ca="1" si="21"/>
        <v>0.11961231178953136</v>
      </c>
      <c r="E77" s="7">
        <f t="shared" ca="1" si="22"/>
        <v>0.13405410228576697</v>
      </c>
      <c r="F77" s="7">
        <f t="shared" ca="1" si="23"/>
        <v>0.12441058598981343</v>
      </c>
      <c r="G77" s="7">
        <f t="shared" ca="1" si="24"/>
        <v>0.14285351703554164</v>
      </c>
      <c r="H77" s="5">
        <v>71</v>
      </c>
      <c r="I77" s="7">
        <f t="shared" ca="1" si="25"/>
        <v>0.11290238746613208</v>
      </c>
      <c r="J77" s="7">
        <f t="shared" ca="1" si="26"/>
        <v>18.23223761177881</v>
      </c>
      <c r="K77" s="7">
        <f t="shared" ca="1" si="27"/>
        <v>2.7139755790588245</v>
      </c>
    </row>
    <row r="78" spans="1:19">
      <c r="A78" s="7">
        <f t="shared" ca="1" si="18"/>
        <v>19.228753681359169</v>
      </c>
      <c r="B78" s="7">
        <f t="shared" ca="1" si="19"/>
        <v>0.17450397329512118</v>
      </c>
      <c r="C78" s="7">
        <f t="shared" ca="1" si="20"/>
        <v>0.10035153241644532</v>
      </c>
      <c r="D78" s="7">
        <f t="shared" ca="1" si="21"/>
        <v>0.15144156547692009</v>
      </c>
      <c r="E78" s="7">
        <f t="shared" ca="1" si="22"/>
        <v>0.13746053723172777</v>
      </c>
      <c r="F78" s="7">
        <f t="shared" ca="1" si="23"/>
        <v>0.11741431675996995</v>
      </c>
      <c r="G78" s="7">
        <f t="shared" ca="1" si="24"/>
        <v>0.12818219225935074</v>
      </c>
      <c r="H78">
        <v>72</v>
      </c>
      <c r="I78" s="7">
        <f t="shared" ca="1" si="25"/>
        <v>0.10035153241644532</v>
      </c>
      <c r="J78" s="7">
        <f t="shared" ca="1" si="26"/>
        <v>19.228753681359169</v>
      </c>
      <c r="K78" s="7">
        <f t="shared" ca="1" si="27"/>
        <v>2.8625868283998153</v>
      </c>
    </row>
    <row r="79" spans="1:19">
      <c r="A79" s="7">
        <f t="shared" ca="1" si="18"/>
        <v>25.279445053444306</v>
      </c>
      <c r="B79" s="7">
        <f t="shared" ca="1" si="19"/>
        <v>0.12923370222543773</v>
      </c>
      <c r="C79" s="7">
        <f t="shared" ca="1" si="20"/>
        <v>0.10081337868297073</v>
      </c>
      <c r="D79" s="7">
        <f t="shared" ca="1" si="21"/>
        <v>0.15896128182969493</v>
      </c>
      <c r="E79" s="7">
        <f t="shared" ca="1" si="22"/>
        <v>0.10605799823919972</v>
      </c>
      <c r="F79" s="7">
        <f t="shared" ca="1" si="23"/>
        <v>0.12246765662261701</v>
      </c>
      <c r="G79" s="7">
        <f t="shared" ca="1" si="24"/>
        <v>0.18956771867976541</v>
      </c>
      <c r="H79" s="5">
        <v>73</v>
      </c>
      <c r="I79" s="7">
        <f t="shared" ca="1" si="25"/>
        <v>0.10081337868297073</v>
      </c>
      <c r="J79" s="7">
        <f t="shared" ca="1" si="26"/>
        <v>25.279445053444306</v>
      </c>
      <c r="K79" s="7">
        <f t="shared" ca="1" si="27"/>
        <v>3.7266495413891421</v>
      </c>
    </row>
    <row r="80" spans="1:19">
      <c r="A80" s="7">
        <f t="shared" ca="1" si="18"/>
        <v>25.741135325436595</v>
      </c>
      <c r="B80" s="7">
        <f t="shared" ca="1" si="19"/>
        <v>0.14429190363096345</v>
      </c>
      <c r="C80" s="7">
        <f t="shared" ca="1" si="20"/>
        <v>0.11059961171907183</v>
      </c>
      <c r="D80" s="7">
        <f t="shared" ca="1" si="21"/>
        <v>0.14698436158832193</v>
      </c>
      <c r="E80" s="7">
        <f t="shared" ca="1" si="22"/>
        <v>0.1494259683502672</v>
      </c>
      <c r="F80" s="7">
        <f t="shared" ca="1" si="23"/>
        <v>0.11785952626921951</v>
      </c>
      <c r="G80" s="7">
        <f t="shared" ca="1" si="24"/>
        <v>0.19441733185714177</v>
      </c>
      <c r="H80">
        <v>74</v>
      </c>
      <c r="I80" s="7">
        <f t="shared" ca="1" si="25"/>
        <v>0.11059961171907183</v>
      </c>
      <c r="J80" s="7">
        <f t="shared" ca="1" si="26"/>
        <v>25.741135325436595</v>
      </c>
      <c r="K80" s="7">
        <f t="shared" ca="1" si="27"/>
        <v>3.8006734326930838</v>
      </c>
    </row>
    <row r="81" spans="1:11">
      <c r="A81" s="7">
        <f t="shared" ca="1" si="18"/>
        <v>24.896019063509492</v>
      </c>
      <c r="B81" s="7">
        <f t="shared" ca="1" si="19"/>
        <v>0.13468709983076449</v>
      </c>
      <c r="C81" s="7">
        <f t="shared" ca="1" si="20"/>
        <v>0.11765372414108974</v>
      </c>
      <c r="D81" s="7">
        <f t="shared" ca="1" si="21"/>
        <v>0.12228388496716884</v>
      </c>
      <c r="E81" s="7">
        <f t="shared" ca="1" si="22"/>
        <v>0.11695813369499664</v>
      </c>
      <c r="F81" s="7">
        <f t="shared" ca="1" si="23"/>
        <v>0.14045290251518994</v>
      </c>
      <c r="G81" s="7">
        <f t="shared" ca="1" si="24"/>
        <v>0.16745810903336292</v>
      </c>
      <c r="H81" s="5">
        <v>75</v>
      </c>
      <c r="I81" s="7">
        <f t="shared" ca="1" si="25"/>
        <v>0.11695813369499664</v>
      </c>
      <c r="J81" s="7">
        <f t="shared" ca="1" si="26"/>
        <v>24.896019063509492</v>
      </c>
      <c r="K81" s="7">
        <f t="shared" ca="1" si="27"/>
        <v>3.6707875596702944</v>
      </c>
    </row>
    <row r="82" spans="1:11">
      <c r="A82" s="7">
        <f t="shared" ca="1" si="18"/>
        <v>18.558666343168966</v>
      </c>
      <c r="B82" s="7">
        <f t="shared" ca="1" si="19"/>
        <v>0.12736309007013641</v>
      </c>
      <c r="C82" s="7">
        <f t="shared" ca="1" si="20"/>
        <v>0.13555321880000271</v>
      </c>
      <c r="D82" s="7">
        <f t="shared" ca="1" si="21"/>
        <v>0.10529155840395929</v>
      </c>
      <c r="E82" s="7">
        <f t="shared" ca="1" si="22"/>
        <v>0.13846772042294087</v>
      </c>
      <c r="F82" s="7">
        <f t="shared" ca="1" si="23"/>
        <v>0.16053541869166002</v>
      </c>
      <c r="G82" s="7">
        <f t="shared" ca="1" si="24"/>
        <v>0.11960202733610988</v>
      </c>
      <c r="H82">
        <v>76</v>
      </c>
      <c r="I82" s="7">
        <f t="shared" ca="1" si="25"/>
        <v>0.10529155840395929</v>
      </c>
      <c r="J82" s="7">
        <f t="shared" ca="1" si="26"/>
        <v>18.558666343168966</v>
      </c>
      <c r="K82" s="7">
        <f t="shared" ca="1" si="27"/>
        <v>2.7636399109848249</v>
      </c>
    </row>
    <row r="83" spans="1:11">
      <c r="A83" s="7">
        <f t="shared" ca="1" si="18"/>
        <v>25.325242493262962</v>
      </c>
      <c r="B83" s="7">
        <f t="shared" ca="1" si="19"/>
        <v>0.12603034461034557</v>
      </c>
      <c r="C83" s="7">
        <f t="shared" ca="1" si="20"/>
        <v>0.13290338889351977</v>
      </c>
      <c r="D83" s="7">
        <f t="shared" ca="1" si="21"/>
        <v>0.18265325020352058</v>
      </c>
      <c r="E83" s="7">
        <f t="shared" ca="1" si="22"/>
        <v>0.12182034489914415</v>
      </c>
      <c r="F83" s="7">
        <f t="shared" ca="1" si="23"/>
        <v>0.12492175453356646</v>
      </c>
      <c r="G83" s="7">
        <f t="shared" ca="1" si="24"/>
        <v>0.12462514668182822</v>
      </c>
      <c r="H83" s="5">
        <v>77</v>
      </c>
      <c r="I83" s="7">
        <f t="shared" ca="1" si="25"/>
        <v>0.12182034489914415</v>
      </c>
      <c r="J83" s="7">
        <f t="shared" ca="1" si="26"/>
        <v>25.325242493262962</v>
      </c>
      <c r="K83" s="7">
        <f t="shared" ca="1" si="27"/>
        <v>3.7340281032978417</v>
      </c>
    </row>
    <row r="84" spans="1:11">
      <c r="A84" s="7">
        <f t="shared" ca="1" si="18"/>
        <v>19.445859876313854</v>
      </c>
      <c r="B84" s="7">
        <f t="shared" ca="1" si="19"/>
        <v>0.14517058162272095</v>
      </c>
      <c r="C84" s="7">
        <f t="shared" ca="1" si="20"/>
        <v>0.10819978907479125</v>
      </c>
      <c r="D84" s="7">
        <f t="shared" ca="1" si="21"/>
        <v>0.16019464601687727</v>
      </c>
      <c r="E84" s="7">
        <f t="shared" ca="1" si="22"/>
        <v>0.13694183332979123</v>
      </c>
      <c r="F84" s="7">
        <f t="shared" ca="1" si="23"/>
        <v>0.12662571151817259</v>
      </c>
      <c r="G84" s="7">
        <f t="shared" ca="1" si="24"/>
        <v>0.10637573519230344</v>
      </c>
      <c r="H84">
        <v>78</v>
      </c>
      <c r="I84" s="7">
        <f t="shared" ca="1" si="25"/>
        <v>0.10637573519230344</v>
      </c>
      <c r="J84" s="7">
        <f t="shared" ca="1" si="26"/>
        <v>19.445859876313854</v>
      </c>
      <c r="K84" s="7">
        <f t="shared" ca="1" si="27"/>
        <v>2.8899097390097879</v>
      </c>
    </row>
    <row r="85" spans="1:11">
      <c r="A85" s="7">
        <f t="shared" ca="1" si="18"/>
        <v>21.636699357788267</v>
      </c>
      <c r="B85" s="7">
        <f t="shared" ca="1" si="19"/>
        <v>0.10517402174487873</v>
      </c>
      <c r="C85" s="7">
        <f t="shared" ca="1" si="20"/>
        <v>0.12886436508374699</v>
      </c>
      <c r="D85" s="7">
        <f t="shared" ca="1" si="21"/>
        <v>0.12807272982528708</v>
      </c>
      <c r="E85" s="7">
        <f t="shared" ca="1" si="22"/>
        <v>0.13138003317410793</v>
      </c>
      <c r="F85" s="7">
        <f t="shared" ca="1" si="23"/>
        <v>0.15260834484467581</v>
      </c>
      <c r="G85" s="7">
        <f t="shared" ca="1" si="24"/>
        <v>0.15318900253691228</v>
      </c>
      <c r="H85" s="5">
        <v>79</v>
      </c>
      <c r="I85" s="7">
        <f t="shared" ca="1" si="25"/>
        <v>0.10517402174487873</v>
      </c>
      <c r="J85" s="7">
        <f t="shared" ca="1" si="26"/>
        <v>21.636699357788267</v>
      </c>
      <c r="K85" s="7">
        <f t="shared" ca="1" si="27"/>
        <v>3.2051411221425536</v>
      </c>
    </row>
    <row r="86" spans="1:11">
      <c r="A86" s="7">
        <f t="shared" ca="1" si="18"/>
        <v>19.597637034024366</v>
      </c>
      <c r="B86" s="7">
        <f t="shared" ca="1" si="19"/>
        <v>0.12260183951323128</v>
      </c>
      <c r="C86" s="7">
        <f t="shared" ca="1" si="20"/>
        <v>0.10106755343033355</v>
      </c>
      <c r="D86" s="7">
        <f t="shared" ca="1" si="21"/>
        <v>0.18328087835334544</v>
      </c>
      <c r="E86" s="7">
        <f t="shared" ca="1" si="22"/>
        <v>0.13432947401329723</v>
      </c>
      <c r="F86" s="7">
        <f t="shared" ca="1" si="23"/>
        <v>0.1207929374657761</v>
      </c>
      <c r="G86" s="7">
        <f t="shared" ca="1" si="24"/>
        <v>0.19570473869836955</v>
      </c>
      <c r="H86">
        <v>80</v>
      </c>
      <c r="I86" s="7">
        <f t="shared" ca="1" si="25"/>
        <v>0.10106755343033355</v>
      </c>
      <c r="J86" s="7">
        <f t="shared" ca="1" si="26"/>
        <v>19.597637034024366</v>
      </c>
      <c r="K86" s="7">
        <f t="shared" ca="1" si="27"/>
        <v>2.9222020650712457</v>
      </c>
    </row>
    <row r="87" spans="1:11">
      <c r="A87" s="7">
        <f t="shared" ca="1" si="18"/>
        <v>20.15059448877841</v>
      </c>
      <c r="B87" s="7">
        <f t="shared" ca="1" si="19"/>
        <v>0.16597899218989143</v>
      </c>
      <c r="C87" s="7">
        <f t="shared" ca="1" si="20"/>
        <v>0.11314460489084349</v>
      </c>
      <c r="D87" s="7">
        <f t="shared" ca="1" si="21"/>
        <v>0.13653185182839261</v>
      </c>
      <c r="E87" s="7">
        <f t="shared" ca="1" si="22"/>
        <v>0.14010613308428507</v>
      </c>
      <c r="F87" s="7">
        <f t="shared" ca="1" si="23"/>
        <v>0.10819342668872206</v>
      </c>
      <c r="G87" s="7">
        <f t="shared" ca="1" si="24"/>
        <v>0.1509701210309442</v>
      </c>
      <c r="H87" s="5">
        <v>81</v>
      </c>
      <c r="I87" s="7">
        <f t="shared" ca="1" si="25"/>
        <v>0.10819342668872206</v>
      </c>
      <c r="J87" s="7">
        <f t="shared" ca="1" si="26"/>
        <v>20.15059448877841</v>
      </c>
      <c r="K87" s="7">
        <f t="shared" ca="1" si="27"/>
        <v>2.9950742312130703</v>
      </c>
    </row>
    <row r="88" spans="1:11">
      <c r="A88" s="7">
        <f t="shared" ca="1" si="18"/>
        <v>21.919739848037636</v>
      </c>
      <c r="B88" s="7">
        <f t="shared" ca="1" si="19"/>
        <v>0.16832598531626608</v>
      </c>
      <c r="C88" s="7">
        <f t="shared" ca="1" si="20"/>
        <v>0.13672107737690326</v>
      </c>
      <c r="D88" s="7">
        <f t="shared" ca="1" si="21"/>
        <v>0.12796150671644713</v>
      </c>
      <c r="E88" s="7">
        <f t="shared" ca="1" si="22"/>
        <v>0.10612157527091179</v>
      </c>
      <c r="F88" s="7">
        <f t="shared" ca="1" si="23"/>
        <v>0.10694730030196786</v>
      </c>
      <c r="G88" s="7">
        <f t="shared" ca="1" si="24"/>
        <v>0.20041717193737602</v>
      </c>
      <c r="H88">
        <v>82</v>
      </c>
      <c r="I88" s="7">
        <f t="shared" ca="1" si="25"/>
        <v>0.10612157527091179</v>
      </c>
      <c r="J88" s="7">
        <f t="shared" ca="1" si="26"/>
        <v>21.919739848037636</v>
      </c>
      <c r="K88" s="7">
        <f t="shared" ca="1" si="27"/>
        <v>3.2523192092796438</v>
      </c>
    </row>
    <row r="89" spans="1:11">
      <c r="A89" s="7">
        <f t="shared" ca="1" si="18"/>
        <v>21.200417428985869</v>
      </c>
      <c r="B89" s="7">
        <f t="shared" ca="1" si="19"/>
        <v>0.12047951939005666</v>
      </c>
      <c r="C89" s="7">
        <f t="shared" ca="1" si="20"/>
        <v>0.11975450167444811</v>
      </c>
      <c r="D89" s="7">
        <f t="shared" ca="1" si="21"/>
        <v>0.15853037144133594</v>
      </c>
      <c r="E89" s="7">
        <f t="shared" ca="1" si="22"/>
        <v>0.13516508009972888</v>
      </c>
      <c r="F89" s="7">
        <f t="shared" ca="1" si="23"/>
        <v>0.16706798115830945</v>
      </c>
      <c r="G89" s="7">
        <f t="shared" ca="1" si="24"/>
        <v>0.16700803906989489</v>
      </c>
      <c r="H89" s="5">
        <v>83</v>
      </c>
      <c r="I89" s="7">
        <f t="shared" ca="1" si="25"/>
        <v>0.11975450167444811</v>
      </c>
      <c r="J89" s="7">
        <f t="shared" ca="1" si="26"/>
        <v>21.200417428985869</v>
      </c>
      <c r="K89" s="7">
        <f t="shared" ca="1" si="27"/>
        <v>3.1526318459742342</v>
      </c>
    </row>
    <row r="90" spans="1:11">
      <c r="A90" s="7">
        <f t="shared" ca="1" si="18"/>
        <v>20.547792261706881</v>
      </c>
      <c r="B90" s="7">
        <f t="shared" ca="1" si="19"/>
        <v>0.10771007559625211</v>
      </c>
      <c r="C90" s="7">
        <f t="shared" ca="1" si="20"/>
        <v>0.10189844726257775</v>
      </c>
      <c r="D90" s="7">
        <f t="shared" ca="1" si="21"/>
        <v>0.17442385810870034</v>
      </c>
      <c r="E90" s="7">
        <f t="shared" ca="1" si="22"/>
        <v>0.10796085912769189</v>
      </c>
      <c r="F90" s="7">
        <f t="shared" ca="1" si="23"/>
        <v>0.15297503827279621</v>
      </c>
      <c r="G90" s="7">
        <f t="shared" ca="1" si="24"/>
        <v>0.19267946962066351</v>
      </c>
      <c r="H90">
        <v>84</v>
      </c>
      <c r="I90" s="7">
        <f t="shared" ca="1" si="25"/>
        <v>0.10189844726257775</v>
      </c>
      <c r="J90" s="7">
        <f t="shared" ca="1" si="26"/>
        <v>20.547792261706881</v>
      </c>
      <c r="K90" s="7">
        <f t="shared" ca="1" si="27"/>
        <v>3.0550628585279371</v>
      </c>
    </row>
    <row r="91" spans="1:11">
      <c r="A91" s="7">
        <f t="shared" ca="1" si="18"/>
        <v>24.522938913216134</v>
      </c>
      <c r="B91" s="7">
        <f t="shared" ca="1" si="19"/>
        <v>0.1652564666931978</v>
      </c>
      <c r="C91" s="7">
        <f t="shared" ca="1" si="20"/>
        <v>0.12812556244059931</v>
      </c>
      <c r="D91" s="7">
        <f t="shared" ca="1" si="21"/>
        <v>0.14244835988466262</v>
      </c>
      <c r="E91" s="7">
        <f t="shared" ca="1" si="22"/>
        <v>0.11034170374484067</v>
      </c>
      <c r="F91" s="7">
        <f t="shared" ca="1" si="23"/>
        <v>0.11305416072019074</v>
      </c>
      <c r="G91" s="7">
        <f t="shared" ca="1" si="24"/>
        <v>0.1697973998913142</v>
      </c>
      <c r="H91" s="5">
        <v>85</v>
      </c>
      <c r="I91" s="7">
        <f t="shared" ca="1" si="25"/>
        <v>0.11034170374484067</v>
      </c>
      <c r="J91" s="7">
        <f t="shared" ca="1" si="26"/>
        <v>24.522938913216134</v>
      </c>
      <c r="K91" s="7">
        <f t="shared" ca="1" si="27"/>
        <v>3.6217089380844198</v>
      </c>
    </row>
    <row r="92" spans="1:11">
      <c r="A92" s="7">
        <f t="shared" ca="1" si="18"/>
        <v>21.937240659057334</v>
      </c>
      <c r="B92" s="7">
        <f t="shared" ca="1" si="19"/>
        <v>0.16437427560385698</v>
      </c>
      <c r="C92" s="7">
        <f t="shared" ca="1" si="20"/>
        <v>0.12671666313340907</v>
      </c>
      <c r="D92" s="7">
        <f t="shared" ca="1" si="21"/>
        <v>0.10190559403375556</v>
      </c>
      <c r="E92" s="7">
        <f t="shared" ca="1" si="22"/>
        <v>0.11577401292785584</v>
      </c>
      <c r="F92" s="7">
        <f t="shared" ca="1" si="23"/>
        <v>0.11704656459713741</v>
      </c>
      <c r="G92" s="7">
        <f t="shared" ca="1" si="24"/>
        <v>0.13112511369637531</v>
      </c>
      <c r="H92">
        <v>86</v>
      </c>
      <c r="I92" s="7">
        <f t="shared" ca="1" si="25"/>
        <v>0.10190559403375556</v>
      </c>
      <c r="J92" s="7">
        <f t="shared" ca="1" si="26"/>
        <v>21.937240659057334</v>
      </c>
      <c r="K92" s="7">
        <f t="shared" ca="1" si="27"/>
        <v>3.2420261261499603</v>
      </c>
    </row>
    <row r="93" spans="1:11">
      <c r="A93" s="7">
        <f t="shared" ca="1" si="18"/>
        <v>24.895687922919191</v>
      </c>
      <c r="B93" s="7">
        <f t="shared" ca="1" si="19"/>
        <v>0.13418945480605832</v>
      </c>
      <c r="C93" s="7">
        <f t="shared" ca="1" si="20"/>
        <v>0.11436182425698184</v>
      </c>
      <c r="D93" s="7">
        <f t="shared" ca="1" si="21"/>
        <v>0.17766605241910055</v>
      </c>
      <c r="E93" s="7">
        <f t="shared" ca="1" si="22"/>
        <v>0.14153712904615207</v>
      </c>
      <c r="F93" s="7">
        <f t="shared" ca="1" si="23"/>
        <v>0.12968707480950722</v>
      </c>
      <c r="G93" s="7">
        <f t="shared" ca="1" si="24"/>
        <v>0.14646527931314773</v>
      </c>
      <c r="H93" s="5">
        <v>87</v>
      </c>
      <c r="I93" s="7">
        <f t="shared" ca="1" si="25"/>
        <v>0.11436182425698184</v>
      </c>
      <c r="J93" s="7">
        <f t="shared" ca="1" si="26"/>
        <v>24.895687922919191</v>
      </c>
      <c r="K93" s="7">
        <f t="shared" ca="1" si="27"/>
        <v>3.6770849625100199</v>
      </c>
    </row>
    <row r="94" spans="1:11">
      <c r="A94" s="7">
        <f t="shared" ca="1" si="18"/>
        <v>20.017793275047811</v>
      </c>
      <c r="B94" s="7">
        <f t="shared" ca="1" si="19"/>
        <v>0.1258498118796664</v>
      </c>
      <c r="C94" s="7">
        <f t="shared" ca="1" si="20"/>
        <v>0.12418642641052029</v>
      </c>
      <c r="D94" s="7">
        <f t="shared" ca="1" si="21"/>
        <v>0.10753368250648904</v>
      </c>
      <c r="E94" s="7">
        <f t="shared" ca="1" si="22"/>
        <v>0.14801473927861031</v>
      </c>
      <c r="F94" s="7">
        <f t="shared" ca="1" si="23"/>
        <v>0.14970200751541901</v>
      </c>
      <c r="G94" s="7">
        <f t="shared" ca="1" si="24"/>
        <v>0.13415978764610526</v>
      </c>
      <c r="H94">
        <v>88</v>
      </c>
      <c r="I94" s="7">
        <f t="shared" ca="1" si="25"/>
        <v>0.10753368250648904</v>
      </c>
      <c r="J94" s="7">
        <f t="shared" ca="1" si="26"/>
        <v>20.017793275047811</v>
      </c>
      <c r="K94" s="7">
        <f t="shared" ca="1" si="27"/>
        <v>2.9724628186120894</v>
      </c>
    </row>
    <row r="95" spans="1:11">
      <c r="A95" s="7">
        <f t="shared" ca="1" si="18"/>
        <v>24.051160531893203</v>
      </c>
      <c r="B95" s="7">
        <f t="shared" ca="1" si="19"/>
        <v>0.1690486049559129</v>
      </c>
      <c r="C95" s="7">
        <f t="shared" ca="1" si="20"/>
        <v>0.11498972917131757</v>
      </c>
      <c r="D95" s="7">
        <f t="shared" ca="1" si="21"/>
        <v>0.18999985557699201</v>
      </c>
      <c r="E95" s="7">
        <f t="shared" ca="1" si="22"/>
        <v>0.10453826790330022</v>
      </c>
      <c r="F95" s="7">
        <f t="shared" ca="1" si="23"/>
        <v>0.13408754451197724</v>
      </c>
      <c r="G95" s="7">
        <f t="shared" ca="1" si="24"/>
        <v>0.11743587078874011</v>
      </c>
      <c r="H95" s="5">
        <v>89</v>
      </c>
      <c r="I95" s="7">
        <f t="shared" ca="1" si="25"/>
        <v>0.10453826790330022</v>
      </c>
      <c r="J95" s="7">
        <f t="shared" ca="1" si="26"/>
        <v>24.051160531893203</v>
      </c>
      <c r="K95" s="7">
        <f t="shared" ca="1" si="27"/>
        <v>3.5544657721144914</v>
      </c>
    </row>
    <row r="96" spans="1:11">
      <c r="A96" s="7">
        <f t="shared" ca="1" si="18"/>
        <v>24.327951646293915</v>
      </c>
      <c r="B96" s="7">
        <f t="shared" ca="1" si="19"/>
        <v>0.10181756226817558</v>
      </c>
      <c r="C96" s="7">
        <f t="shared" ca="1" si="20"/>
        <v>0.12056704783726593</v>
      </c>
      <c r="D96" s="7">
        <f t="shared" ca="1" si="21"/>
        <v>0.10821181160288035</v>
      </c>
      <c r="E96" s="7">
        <f t="shared" ca="1" si="22"/>
        <v>0.13807488414936908</v>
      </c>
      <c r="F96" s="7">
        <f t="shared" ca="1" si="23"/>
        <v>0.12961798391256399</v>
      </c>
      <c r="G96" s="7">
        <f t="shared" ca="1" si="24"/>
        <v>0.13705661362939547</v>
      </c>
      <c r="H96">
        <v>90</v>
      </c>
      <c r="I96" s="7">
        <f t="shared" ca="1" si="25"/>
        <v>0.10181756226817558</v>
      </c>
      <c r="J96" s="7">
        <f t="shared" ca="1" si="26"/>
        <v>24.327951646293915</v>
      </c>
      <c r="K96" s="7">
        <f t="shared" ca="1" si="27"/>
        <v>3.5804710785276517</v>
      </c>
    </row>
    <row r="97" spans="1:11">
      <c r="A97" s="7">
        <f t="shared" ca="1" si="18"/>
        <v>22.840054062350927</v>
      </c>
      <c r="B97" s="7">
        <f t="shared" ca="1" si="19"/>
        <v>0.1410578460373651</v>
      </c>
      <c r="C97" s="7">
        <f t="shared" ca="1" si="20"/>
        <v>0.12880704188481057</v>
      </c>
      <c r="D97" s="7">
        <f t="shared" ca="1" si="21"/>
        <v>0.14584994284439209</v>
      </c>
      <c r="E97" s="7">
        <f t="shared" ca="1" si="22"/>
        <v>0.11975342836491058</v>
      </c>
      <c r="F97" s="7">
        <f t="shared" ca="1" si="23"/>
        <v>0.16560687833549553</v>
      </c>
      <c r="G97" s="7">
        <f t="shared" ca="1" si="24"/>
        <v>0.17765546097471066</v>
      </c>
      <c r="H97" s="5">
        <v>91</v>
      </c>
      <c r="I97" s="7">
        <f t="shared" ca="1" si="25"/>
        <v>0.11975342836491058</v>
      </c>
      <c r="J97" s="7">
        <f t="shared" ca="1" si="26"/>
        <v>22.840054062350927</v>
      </c>
      <c r="K97" s="7">
        <f t="shared" ca="1" si="27"/>
        <v>3.3883978086846591</v>
      </c>
    </row>
    <row r="98" spans="1:11">
      <c r="A98" s="7">
        <f t="shared" ca="1" si="18"/>
        <v>21.014468937129017</v>
      </c>
      <c r="B98" s="7">
        <f t="shared" ca="1" si="19"/>
        <v>0.15842804316542156</v>
      </c>
      <c r="C98" s="7">
        <f t="shared" ca="1" si="20"/>
        <v>0.10868830386434242</v>
      </c>
      <c r="D98" s="7">
        <f t="shared" ca="1" si="21"/>
        <v>0.15248549839718553</v>
      </c>
      <c r="E98" s="7">
        <f t="shared" ca="1" si="22"/>
        <v>0.13397169137904114</v>
      </c>
      <c r="F98" s="7">
        <f t="shared" ca="1" si="23"/>
        <v>0.14355402927172367</v>
      </c>
      <c r="G98" s="7">
        <f t="shared" ca="1" si="24"/>
        <v>0.18631209138501509</v>
      </c>
      <c r="H98">
        <v>92</v>
      </c>
      <c r="I98" s="7">
        <f t="shared" ca="1" si="25"/>
        <v>0.10868830386434242</v>
      </c>
      <c r="J98" s="7">
        <f t="shared" ca="1" si="26"/>
        <v>21.014468937129017</v>
      </c>
      <c r="K98" s="7">
        <f t="shared" ca="1" si="27"/>
        <v>3.1282726563702496</v>
      </c>
    </row>
    <row r="99" spans="1:11">
      <c r="A99" s="7">
        <f t="shared" ca="1" si="18"/>
        <v>25.246254032379859</v>
      </c>
      <c r="B99" s="7">
        <f t="shared" ca="1" si="19"/>
        <v>0.17354463211474477</v>
      </c>
      <c r="C99" s="7">
        <f t="shared" ca="1" si="20"/>
        <v>0.10821845949408959</v>
      </c>
      <c r="D99" s="7">
        <f t="shared" ca="1" si="21"/>
        <v>0.13491004348580926</v>
      </c>
      <c r="E99" s="7">
        <f t="shared" ca="1" si="22"/>
        <v>0.11500922121412882</v>
      </c>
      <c r="F99" s="7">
        <f t="shared" ca="1" si="23"/>
        <v>0.10443517215040721</v>
      </c>
      <c r="G99" s="7">
        <f t="shared" ca="1" si="24"/>
        <v>0.11582201923734488</v>
      </c>
      <c r="H99" s="5">
        <v>93</v>
      </c>
      <c r="I99" s="7">
        <f t="shared" ca="1" si="25"/>
        <v>0.10443517215040721</v>
      </c>
      <c r="J99" s="7">
        <f t="shared" ca="1" si="26"/>
        <v>25.246254032379859</v>
      </c>
      <c r="K99" s="7">
        <f t="shared" ca="1" si="27"/>
        <v>3.7140276542966264</v>
      </c>
    </row>
    <row r="100" spans="1:11">
      <c r="A100" s="7">
        <f t="shared" ca="1" si="18"/>
        <v>21.684291279328651</v>
      </c>
      <c r="B100" s="7">
        <f t="shared" ca="1" si="19"/>
        <v>0.11346892279889897</v>
      </c>
      <c r="C100" s="7">
        <f t="shared" ca="1" si="20"/>
        <v>0.10853881060652869</v>
      </c>
      <c r="D100" s="7">
        <f t="shared" ca="1" si="21"/>
        <v>0.11367091510707253</v>
      </c>
      <c r="E100" s="7">
        <f t="shared" ca="1" si="22"/>
        <v>0.12177989231525714</v>
      </c>
      <c r="F100" s="7">
        <f t="shared" ca="1" si="23"/>
        <v>0.11208751762553588</v>
      </c>
      <c r="G100" s="7">
        <f t="shared" ca="1" si="24"/>
        <v>0.15656988161310342</v>
      </c>
      <c r="H100">
        <v>94</v>
      </c>
      <c r="I100" s="7">
        <f t="shared" ca="1" si="25"/>
        <v>0.10853881060652869</v>
      </c>
      <c r="J100" s="7">
        <f t="shared" ca="1" si="26"/>
        <v>21.684291279328651</v>
      </c>
      <c r="K100" s="7">
        <f t="shared" ca="1" si="27"/>
        <v>3.2014867456278635</v>
      </c>
    </row>
    <row r="101" spans="1:11">
      <c r="A101" s="7">
        <f t="shared" ca="1" si="18"/>
        <v>21.515182852369826</v>
      </c>
      <c r="B101" s="7">
        <f t="shared" ca="1" si="19"/>
        <v>0.15431343380697593</v>
      </c>
      <c r="C101" s="7">
        <f t="shared" ca="1" si="20"/>
        <v>0.12127529006366002</v>
      </c>
      <c r="D101" s="7">
        <f t="shared" ca="1" si="21"/>
        <v>0.12319382631544465</v>
      </c>
      <c r="E101" s="7">
        <f t="shared" ca="1" si="22"/>
        <v>0.13668972486416792</v>
      </c>
      <c r="F101" s="7">
        <f t="shared" ca="1" si="23"/>
        <v>0.10735200654358601</v>
      </c>
      <c r="G101" s="7">
        <f t="shared" ca="1" si="24"/>
        <v>0.11597335883766642</v>
      </c>
      <c r="H101" s="5">
        <v>95</v>
      </c>
      <c r="I101" s="7">
        <f t="shared" ca="1" si="25"/>
        <v>0.10735200654358601</v>
      </c>
      <c r="J101" s="7">
        <f t="shared" ca="1" si="26"/>
        <v>21.515182852369826</v>
      </c>
      <c r="K101" s="7">
        <f t="shared" ca="1" si="27"/>
        <v>3.1819972132573326</v>
      </c>
    </row>
    <row r="102" spans="1:11">
      <c r="A102" s="7">
        <f t="shared" ca="1" si="18"/>
        <v>19.752646138913107</v>
      </c>
      <c r="B102" s="7">
        <f t="shared" ca="1" si="19"/>
        <v>0.12331113757469139</v>
      </c>
      <c r="C102" s="7">
        <f t="shared" ca="1" si="20"/>
        <v>0.10944783566736392</v>
      </c>
      <c r="D102" s="7">
        <f t="shared" ca="1" si="21"/>
        <v>0.16908306623534997</v>
      </c>
      <c r="E102" s="7">
        <f t="shared" ca="1" si="22"/>
        <v>0.13291724252391329</v>
      </c>
      <c r="F102" s="7">
        <f t="shared" ca="1" si="23"/>
        <v>0.1274253873062294</v>
      </c>
      <c r="G102" s="7">
        <f t="shared" ca="1" si="24"/>
        <v>0.13212678729904359</v>
      </c>
      <c r="H102">
        <v>96</v>
      </c>
      <c r="I102" s="7">
        <f t="shared" ca="1" si="25"/>
        <v>0.10944783566736392</v>
      </c>
      <c r="J102" s="7">
        <f t="shared" ca="1" si="26"/>
        <v>19.752646138913107</v>
      </c>
      <c r="K102" s="7">
        <f t="shared" ca="1" si="27"/>
        <v>2.9352796565028139</v>
      </c>
    </row>
    <row r="103" spans="1:11">
      <c r="A103" s="7">
        <f t="shared" ca="1" si="18"/>
        <v>20.457887975668591</v>
      </c>
      <c r="B103" s="7">
        <f t="shared" ca="1" si="19"/>
        <v>0.12894380152337837</v>
      </c>
      <c r="C103" s="7">
        <f t="shared" ca="1" si="20"/>
        <v>0.1366617261314105</v>
      </c>
      <c r="D103" s="7">
        <f t="shared" ca="1" si="21"/>
        <v>0.16439282825519486</v>
      </c>
      <c r="E103" s="7">
        <f t="shared" ca="1" si="22"/>
        <v>0.10467144150455654</v>
      </c>
      <c r="F103" s="7">
        <f t="shared" ca="1" si="23"/>
        <v>0.10211378088933233</v>
      </c>
      <c r="G103" s="7">
        <f t="shared" ca="1" si="24"/>
        <v>0.15220544389749197</v>
      </c>
      <c r="H103" s="5">
        <v>97</v>
      </c>
      <c r="I103" s="7">
        <f t="shared" ca="1" si="25"/>
        <v>0.10211378088933233</v>
      </c>
      <c r="J103" s="7">
        <f t="shared" ca="1" si="26"/>
        <v>20.457887975668591</v>
      </c>
      <c r="K103" s="7">
        <f t="shared" ca="1" si="27"/>
        <v>3.0352681425528512</v>
      </c>
    </row>
    <row r="104" spans="1:11">
      <c r="A104" s="7">
        <f t="shared" ca="1" si="18"/>
        <v>18.063665721601915</v>
      </c>
      <c r="B104" s="7">
        <f t="shared" ca="1" si="19"/>
        <v>0.15333216864546753</v>
      </c>
      <c r="C104" s="7">
        <f t="shared" ca="1" si="20"/>
        <v>0.11079044546808704</v>
      </c>
      <c r="D104" s="7">
        <f t="shared" ca="1" si="21"/>
        <v>0.10218550165834563</v>
      </c>
      <c r="E104" s="7">
        <f t="shared" ca="1" si="22"/>
        <v>0.14111994598124286</v>
      </c>
      <c r="F104" s="7">
        <f t="shared" ca="1" si="23"/>
        <v>0.12767597643252027</v>
      </c>
      <c r="G104" s="7">
        <f t="shared" ca="1" si="24"/>
        <v>0.17936054824259384</v>
      </c>
      <c r="H104">
        <v>98</v>
      </c>
      <c r="I104" s="7">
        <f t="shared" ca="1" si="25"/>
        <v>0.10218550165834563</v>
      </c>
      <c r="J104" s="7">
        <f t="shared" ca="1" si="26"/>
        <v>18.063665721601915</v>
      </c>
      <c r="K104" s="7">
        <f t="shared" ca="1" si="27"/>
        <v>2.6968757582900245</v>
      </c>
    </row>
    <row r="105" spans="1:11">
      <c r="A105" s="7">
        <f t="shared" ca="1" si="18"/>
        <v>25.50560079275688</v>
      </c>
      <c r="B105" s="7">
        <f t="shared" ca="1" si="19"/>
        <v>0.17018879222685174</v>
      </c>
      <c r="C105" s="7">
        <f t="shared" ca="1" si="20"/>
        <v>0.10008606712881071</v>
      </c>
      <c r="D105" s="7">
        <f t="shared" ca="1" si="21"/>
        <v>0.11521194091179722</v>
      </c>
      <c r="E105" s="7">
        <f t="shared" ca="1" si="22"/>
        <v>0.11855127923188294</v>
      </c>
      <c r="F105" s="7">
        <f t="shared" ca="1" si="23"/>
        <v>0.12880927602772888</v>
      </c>
      <c r="G105" s="7">
        <f t="shared" ca="1" si="24"/>
        <v>0.15542708285872711</v>
      </c>
      <c r="H105" s="5">
        <v>99</v>
      </c>
      <c r="I105" s="7">
        <f t="shared" ca="1" si="25"/>
        <v>0.10008606712881071</v>
      </c>
      <c r="J105" s="7">
        <f t="shared" ca="1" si="26"/>
        <v>25.50560079275688</v>
      </c>
      <c r="K105" s="7">
        <f t="shared" ca="1" si="27"/>
        <v>3.7562678901632398</v>
      </c>
    </row>
    <row r="106" spans="1:11">
      <c r="A106" s="7">
        <f t="shared" ca="1" si="18"/>
        <v>22.664486866141566</v>
      </c>
      <c r="B106" s="7">
        <f t="shared" ca="1" si="19"/>
        <v>0.11836915269178584</v>
      </c>
      <c r="C106" s="7">
        <f t="shared" ca="1" si="20"/>
        <v>0.11220864672137656</v>
      </c>
      <c r="D106" s="7">
        <f t="shared" ca="1" si="21"/>
        <v>0.17913249098584355</v>
      </c>
      <c r="E106" s="7">
        <f t="shared" ca="1" si="22"/>
        <v>0.13570966004119411</v>
      </c>
      <c r="F106" s="7">
        <f t="shared" ca="1" si="23"/>
        <v>0.13998698738069149</v>
      </c>
      <c r="G106" s="7">
        <f t="shared" ca="1" si="24"/>
        <v>0.10585890707270161</v>
      </c>
      <c r="H106">
        <v>100</v>
      </c>
      <c r="I106" s="7">
        <f t="shared" ca="1" si="25"/>
        <v>0.10585890707270161</v>
      </c>
      <c r="J106" s="7">
        <f t="shared" ca="1" si="26"/>
        <v>22.664486866141566</v>
      </c>
      <c r="K106" s="7">
        <f t="shared" ca="1" si="27"/>
        <v>3.3508218158621657</v>
      </c>
    </row>
    <row r="107" spans="1:11">
      <c r="A107" s="7">
        <f t="shared" ca="1" si="18"/>
        <v>18.175703034354136</v>
      </c>
      <c r="B107" s="7">
        <f t="shared" ca="1" si="19"/>
        <v>0.1323693100651562</v>
      </c>
      <c r="C107" s="7">
        <f t="shared" ca="1" si="20"/>
        <v>0.12713511799916885</v>
      </c>
      <c r="D107" s="7">
        <f t="shared" ca="1" si="21"/>
        <v>0.14251223172970159</v>
      </c>
      <c r="E107" s="7">
        <f t="shared" ca="1" si="22"/>
        <v>0.10939098733237693</v>
      </c>
      <c r="F107" s="7">
        <f t="shared" ca="1" si="23"/>
        <v>0.1147436356829117</v>
      </c>
      <c r="G107" s="7">
        <f t="shared" ca="1" si="24"/>
        <v>0.15814441541663929</v>
      </c>
      <c r="H107" s="5">
        <v>101</v>
      </c>
      <c r="I107" s="7">
        <f t="shared" ca="1" si="25"/>
        <v>0.10939098733237693</v>
      </c>
      <c r="J107" s="7">
        <f t="shared" ca="1" si="26"/>
        <v>18.175703034354136</v>
      </c>
      <c r="K107" s="7">
        <f t="shared" ca="1" si="27"/>
        <v>2.7085712475114412</v>
      </c>
    </row>
    <row r="108" spans="1:11">
      <c r="A108" s="7">
        <f t="shared" ca="1" si="18"/>
        <v>23.879621615478904</v>
      </c>
      <c r="B108" s="7">
        <f t="shared" ca="1" si="19"/>
        <v>0.14915736778406402</v>
      </c>
      <c r="C108" s="7">
        <f t="shared" ca="1" si="20"/>
        <v>0.1079284204080412</v>
      </c>
      <c r="D108" s="7">
        <f t="shared" ca="1" si="21"/>
        <v>0.15400469983440768</v>
      </c>
      <c r="E108" s="7">
        <f t="shared" ca="1" si="22"/>
        <v>0.10103938850720041</v>
      </c>
      <c r="F108" s="7">
        <f t="shared" ca="1" si="23"/>
        <v>0.16778738729829878</v>
      </c>
      <c r="G108" s="7">
        <f t="shared" ca="1" si="24"/>
        <v>0.1947677514194299</v>
      </c>
      <c r="H108">
        <v>102</v>
      </c>
      <c r="I108" s="7">
        <f t="shared" ca="1" si="25"/>
        <v>0.10103938850720041</v>
      </c>
      <c r="J108" s="7">
        <f t="shared" ca="1" si="26"/>
        <v>23.879621615478904</v>
      </c>
      <c r="K108" s="7">
        <f t="shared" ca="1" si="27"/>
        <v>3.5363295186757631</v>
      </c>
    </row>
    <row r="109" spans="1:11">
      <c r="A109" s="7">
        <f t="shared" ca="1" si="18"/>
        <v>20.277174283665715</v>
      </c>
      <c r="B109" s="7">
        <f t="shared" ca="1" si="19"/>
        <v>0.16097107453467721</v>
      </c>
      <c r="C109" s="7">
        <f t="shared" ca="1" si="20"/>
        <v>0.13950104449806244</v>
      </c>
      <c r="D109" s="7">
        <f t="shared" ca="1" si="21"/>
        <v>0.16390778453516625</v>
      </c>
      <c r="E109" s="7">
        <f t="shared" ca="1" si="22"/>
        <v>0.1452078038198909</v>
      </c>
      <c r="F109" s="7">
        <f t="shared" ca="1" si="23"/>
        <v>0.13107776582766778</v>
      </c>
      <c r="G109" s="7">
        <f t="shared" ca="1" si="24"/>
        <v>0.15134759546770454</v>
      </c>
      <c r="H109" s="5">
        <v>103</v>
      </c>
      <c r="I109" s="7">
        <f t="shared" ca="1" si="25"/>
        <v>0.13107776582766778</v>
      </c>
      <c r="J109" s="7">
        <f t="shared" ca="1" si="26"/>
        <v>20.277174283665715</v>
      </c>
      <c r="K109" s="7">
        <f t="shared" ca="1" si="27"/>
        <v>3.0241696217641265</v>
      </c>
    </row>
    <row r="110" spans="1:11">
      <c r="A110" s="7">
        <f t="shared" ca="1" si="18"/>
        <v>25.680498547738296</v>
      </c>
      <c r="B110" s="7">
        <f t="shared" ca="1" si="19"/>
        <v>0.13380430940910007</v>
      </c>
      <c r="C110" s="7">
        <f t="shared" ca="1" si="20"/>
        <v>0.13872017481640547</v>
      </c>
      <c r="D110" s="7">
        <f t="shared" ca="1" si="21"/>
        <v>0.13793004575331796</v>
      </c>
      <c r="E110" s="7">
        <f t="shared" ca="1" si="22"/>
        <v>0.138602642828001</v>
      </c>
      <c r="F110" s="7">
        <f t="shared" ca="1" si="23"/>
        <v>0.16756418780351959</v>
      </c>
      <c r="G110" s="7">
        <f t="shared" ca="1" si="24"/>
        <v>0.12174877494905423</v>
      </c>
      <c r="H110">
        <v>104</v>
      </c>
      <c r="I110" s="7">
        <f t="shared" ca="1" si="25"/>
        <v>0.12174877494905423</v>
      </c>
      <c r="J110" s="7">
        <f t="shared" ca="1" si="26"/>
        <v>25.680498547738296</v>
      </c>
      <c r="K110" s="7">
        <f t="shared" ca="1" si="27"/>
        <v>3.7884098118996712</v>
      </c>
    </row>
    <row r="111" spans="1:11">
      <c r="A111" s="7">
        <f t="shared" ca="1" si="18"/>
        <v>22.132754311121388</v>
      </c>
      <c r="B111" s="7">
        <f t="shared" ca="1" si="19"/>
        <v>0.12857692066580168</v>
      </c>
      <c r="C111" s="7">
        <f t="shared" ca="1" si="20"/>
        <v>0.1281084903191268</v>
      </c>
      <c r="D111" s="7">
        <f t="shared" ca="1" si="21"/>
        <v>0.13412701017800818</v>
      </c>
      <c r="E111" s="7">
        <f t="shared" ca="1" si="22"/>
        <v>0.10428738503080903</v>
      </c>
      <c r="F111" s="7">
        <f t="shared" ca="1" si="23"/>
        <v>0.1012921876166665</v>
      </c>
      <c r="G111" s="7">
        <f t="shared" ca="1" si="24"/>
        <v>0.20054799293207642</v>
      </c>
      <c r="H111" s="5">
        <v>105</v>
      </c>
      <c r="I111" s="7">
        <f t="shared" ca="1" si="25"/>
        <v>0.1012921876166665</v>
      </c>
      <c r="J111" s="7">
        <f t="shared" ca="1" si="26"/>
        <v>22.132754311121388</v>
      </c>
      <c r="K111" s="7">
        <f t="shared" ca="1" si="27"/>
        <v>3.2756706139805543</v>
      </c>
    </row>
    <row r="112" spans="1:11">
      <c r="A112" s="7">
        <f t="shared" ca="1" si="18"/>
        <v>25.008646682069134</v>
      </c>
      <c r="B112" s="7">
        <f t="shared" ca="1" si="19"/>
        <v>0.10895210093703145</v>
      </c>
      <c r="C112" s="7">
        <f t="shared" ca="1" si="20"/>
        <v>0.10286316229625239</v>
      </c>
      <c r="D112" s="7">
        <f t="shared" ca="1" si="21"/>
        <v>0.15598758347527023</v>
      </c>
      <c r="E112" s="7">
        <f t="shared" ca="1" si="22"/>
        <v>0.10747937530301592</v>
      </c>
      <c r="F112" s="7">
        <f t="shared" ca="1" si="23"/>
        <v>0.16024260308863181</v>
      </c>
      <c r="G112" s="7">
        <f t="shared" ca="1" si="24"/>
        <v>0.1674322131804919</v>
      </c>
      <c r="H112">
        <v>106</v>
      </c>
      <c r="I112" s="7">
        <f t="shared" ca="1" si="25"/>
        <v>0.10286316229625239</v>
      </c>
      <c r="J112" s="7">
        <f t="shared" ca="1" si="26"/>
        <v>25.008646682069134</v>
      </c>
      <c r="K112" s="7">
        <f t="shared" ca="1" si="27"/>
        <v>3.6873719600499757</v>
      </c>
    </row>
    <row r="113" spans="1:11">
      <c r="A113" s="7">
        <f t="shared" ca="1" si="18"/>
        <v>24.745127243970174</v>
      </c>
      <c r="B113" s="7">
        <f t="shared" ca="1" si="19"/>
        <v>0.15410394942105027</v>
      </c>
      <c r="C113" s="7">
        <f t="shared" ca="1" si="20"/>
        <v>0.11385683456520908</v>
      </c>
      <c r="D113" s="7">
        <f t="shared" ca="1" si="21"/>
        <v>0.10549664444359577</v>
      </c>
      <c r="E113" s="7">
        <f t="shared" ca="1" si="22"/>
        <v>0.11956400367531173</v>
      </c>
      <c r="F113" s="7">
        <f t="shared" ca="1" si="23"/>
        <v>0.16862344099498791</v>
      </c>
      <c r="G113" s="7">
        <f t="shared" ca="1" si="24"/>
        <v>0.20195981710670463</v>
      </c>
      <c r="H113" s="5">
        <v>107</v>
      </c>
      <c r="I113" s="7">
        <f t="shared" ca="1" si="25"/>
        <v>0.10549664444359577</v>
      </c>
      <c r="J113" s="7">
        <f t="shared" ca="1" si="26"/>
        <v>24.745127243970174</v>
      </c>
      <c r="K113" s="7">
        <f t="shared" ca="1" si="27"/>
        <v>3.6583902763110041</v>
      </c>
    </row>
    <row r="114" spans="1:11">
      <c r="A114" s="7">
        <f t="shared" ca="1" si="18"/>
        <v>24.453407966887049</v>
      </c>
      <c r="B114" s="7">
        <f t="shared" ca="1" si="19"/>
        <v>0.10693424273462299</v>
      </c>
      <c r="C114" s="7">
        <f t="shared" ca="1" si="20"/>
        <v>0.10437369631743924</v>
      </c>
      <c r="D114" s="7">
        <f t="shared" ca="1" si="21"/>
        <v>0.10459096773214797</v>
      </c>
      <c r="E114" s="7">
        <f t="shared" ca="1" si="22"/>
        <v>0.1209750273271963</v>
      </c>
      <c r="F114" s="7">
        <f t="shared" ca="1" si="23"/>
        <v>0.16283306884462251</v>
      </c>
      <c r="G114" s="7">
        <f t="shared" ca="1" si="24"/>
        <v>0.13235463733862368</v>
      </c>
      <c r="H114">
        <v>108</v>
      </c>
      <c r="I114" s="7">
        <f t="shared" ca="1" si="25"/>
        <v>0.10437369631743924</v>
      </c>
      <c r="J114" s="7">
        <f t="shared" ca="1" si="26"/>
        <v>24.453407966887049</v>
      </c>
      <c r="K114" s="7">
        <f t="shared" ca="1" si="27"/>
        <v>3.5979242295973859</v>
      </c>
    </row>
    <row r="115" spans="1:11">
      <c r="A115" s="7">
        <f t="shared" ca="1" si="18"/>
        <v>21.796570954735067</v>
      </c>
      <c r="B115" s="7">
        <f t="shared" ca="1" si="19"/>
        <v>0.14225881378002989</v>
      </c>
      <c r="C115" s="7">
        <f t="shared" ca="1" si="20"/>
        <v>0.12350085412981189</v>
      </c>
      <c r="D115" s="7">
        <f t="shared" ca="1" si="21"/>
        <v>0.12902921350039531</v>
      </c>
      <c r="E115" s="7">
        <f t="shared" ca="1" si="22"/>
        <v>0.12275135675460537</v>
      </c>
      <c r="F115" s="7">
        <f t="shared" ca="1" si="23"/>
        <v>0.13703542589880102</v>
      </c>
      <c r="G115" s="7">
        <f t="shared" ca="1" si="24"/>
        <v>0.18740273933958601</v>
      </c>
      <c r="H115" s="5">
        <v>109</v>
      </c>
      <c r="I115" s="7">
        <f t="shared" ca="1" si="25"/>
        <v>0.12275135675460537</v>
      </c>
      <c r="J115" s="7">
        <f t="shared" ca="1" si="26"/>
        <v>21.796570954735067</v>
      </c>
      <c r="K115" s="7">
        <f t="shared" ca="1" si="27"/>
        <v>3.2340784797340421</v>
      </c>
    </row>
    <row r="116" spans="1:11">
      <c r="A116" s="7">
        <f t="shared" ca="1" si="18"/>
        <v>25.097660638958473</v>
      </c>
      <c r="B116" s="7">
        <f t="shared" ca="1" si="19"/>
        <v>0.15822611642125461</v>
      </c>
      <c r="C116" s="7">
        <f t="shared" ca="1" si="20"/>
        <v>0.12312027533052396</v>
      </c>
      <c r="D116" s="7">
        <f t="shared" ca="1" si="21"/>
        <v>0.12012826009399784</v>
      </c>
      <c r="E116" s="7">
        <f t="shared" ca="1" si="22"/>
        <v>0.11797937759584885</v>
      </c>
      <c r="F116" s="7">
        <f t="shared" ca="1" si="23"/>
        <v>0.1349507558982988</v>
      </c>
      <c r="G116" s="7">
        <f t="shared" ca="1" si="24"/>
        <v>0.1496839403278161</v>
      </c>
      <c r="H116">
        <v>110</v>
      </c>
      <c r="I116" s="7">
        <f t="shared" ca="1" si="25"/>
        <v>0.11797937759584885</v>
      </c>
      <c r="J116" s="7">
        <f t="shared" ca="1" si="26"/>
        <v>25.097660638958473</v>
      </c>
      <c r="K116" s="7">
        <f t="shared" ca="1" si="27"/>
        <v>3.700249909232316</v>
      </c>
    </row>
    <row r="117" spans="1:11">
      <c r="A117" s="7">
        <f t="shared" ca="1" si="18"/>
        <v>24.820673051849099</v>
      </c>
      <c r="B117" s="7">
        <f t="shared" ca="1" si="19"/>
        <v>0.15086314483186489</v>
      </c>
      <c r="C117" s="7">
        <f t="shared" ca="1" si="20"/>
        <v>0.10944824319903834</v>
      </c>
      <c r="D117" s="7">
        <f t="shared" ca="1" si="21"/>
        <v>0.16494210828221137</v>
      </c>
      <c r="E117" s="7">
        <f t="shared" ca="1" si="22"/>
        <v>0.10555652993764512</v>
      </c>
      <c r="F117" s="7">
        <f t="shared" ca="1" si="23"/>
        <v>0.12376284595986403</v>
      </c>
      <c r="G117" s="7">
        <f t="shared" ca="1" si="24"/>
        <v>0.15302063682087461</v>
      </c>
      <c r="H117" s="5">
        <v>111</v>
      </c>
      <c r="I117" s="7">
        <f t="shared" ca="1" si="25"/>
        <v>0.10555652993764512</v>
      </c>
      <c r="J117" s="7">
        <f t="shared" ca="1" si="26"/>
        <v>24.820673051849099</v>
      </c>
      <c r="K117" s="7">
        <f t="shared" ca="1" si="27"/>
        <v>3.6611809372686563</v>
      </c>
    </row>
    <row r="118" spans="1:11">
      <c r="A118" s="7">
        <f t="shared" ca="1" si="18"/>
        <v>18.7673303661253</v>
      </c>
      <c r="B118" s="7">
        <f t="shared" ca="1" si="19"/>
        <v>0.10893738704931184</v>
      </c>
      <c r="C118" s="7">
        <f t="shared" ca="1" si="20"/>
        <v>0.10496035466754244</v>
      </c>
      <c r="D118" s="7">
        <f t="shared" ca="1" si="21"/>
        <v>0.12681603465727936</v>
      </c>
      <c r="E118" s="7">
        <f t="shared" ca="1" si="22"/>
        <v>0.10063450152667189</v>
      </c>
      <c r="F118" s="7">
        <f t="shared" ca="1" si="23"/>
        <v>0.14639955411616179</v>
      </c>
      <c r="G118" s="7">
        <f t="shared" ca="1" si="24"/>
        <v>0.15834530315437464</v>
      </c>
      <c r="H118">
        <v>112</v>
      </c>
      <c r="I118" s="7">
        <f t="shared" ca="1" si="25"/>
        <v>0.10063450152667189</v>
      </c>
      <c r="J118" s="7">
        <f t="shared" ca="1" si="26"/>
        <v>18.7673303661253</v>
      </c>
      <c r="K118" s="7">
        <f t="shared" ca="1" si="27"/>
        <v>2.7876319287566629</v>
      </c>
    </row>
    <row r="119" spans="1:11">
      <c r="A119" s="7">
        <f t="shared" ca="1" si="18"/>
        <v>22.272509155455069</v>
      </c>
      <c r="B119" s="7">
        <f t="shared" ca="1" si="19"/>
        <v>0.1218375087192525</v>
      </c>
      <c r="C119" s="7">
        <f t="shared" ca="1" si="20"/>
        <v>0.1185207641364905</v>
      </c>
      <c r="D119" s="7">
        <f t="shared" ca="1" si="21"/>
        <v>0.13785163185167987</v>
      </c>
      <c r="E119" s="7">
        <f t="shared" ca="1" si="22"/>
        <v>0.11997972336130969</v>
      </c>
      <c r="F119" s="7">
        <f t="shared" ca="1" si="23"/>
        <v>0.12469576419537615</v>
      </c>
      <c r="G119" s="7">
        <f t="shared" ca="1" si="24"/>
        <v>0.11255640399960851</v>
      </c>
      <c r="H119" s="5">
        <v>113</v>
      </c>
      <c r="I119" s="7">
        <f t="shared" ca="1" si="25"/>
        <v>0.11255640399960851</v>
      </c>
      <c r="J119" s="7">
        <f t="shared" ca="1" si="26"/>
        <v>22.272509155455069</v>
      </c>
      <c r="K119" s="7">
        <f t="shared" ca="1" si="27"/>
        <v>3.2868501359598272</v>
      </c>
    </row>
    <row r="120" spans="1:11">
      <c r="A120" s="7">
        <f t="shared" ca="1" si="18"/>
        <v>20.440279426615859</v>
      </c>
      <c r="B120" s="7">
        <f t="shared" ca="1" si="19"/>
        <v>0.17932711638133678</v>
      </c>
      <c r="C120" s="7">
        <f t="shared" ca="1" si="20"/>
        <v>0.12998751745824835</v>
      </c>
      <c r="D120" s="7">
        <f t="shared" ca="1" si="21"/>
        <v>0.14182506319449467</v>
      </c>
      <c r="E120" s="7">
        <f t="shared" ca="1" si="22"/>
        <v>0.1204689007324376</v>
      </c>
      <c r="F120" s="7">
        <f t="shared" ca="1" si="23"/>
        <v>0.15837472160340119</v>
      </c>
      <c r="G120" s="7">
        <f t="shared" ca="1" si="24"/>
        <v>0.15633910830226036</v>
      </c>
      <c r="H120">
        <v>114</v>
      </c>
      <c r="I120" s="7">
        <f t="shared" ca="1" si="25"/>
        <v>0.1204689007324376</v>
      </c>
      <c r="J120" s="7">
        <f t="shared" ca="1" si="26"/>
        <v>20.440279426615859</v>
      </c>
      <c r="K120" s="7">
        <f t="shared" ca="1" si="27"/>
        <v>3.0466574077554336</v>
      </c>
    </row>
    <row r="121" spans="1:11">
      <c r="A121" s="7">
        <f t="shared" ca="1" si="18"/>
        <v>23.037348443274695</v>
      </c>
      <c r="B121" s="7">
        <f t="shared" ca="1" si="19"/>
        <v>0.12623881108453025</v>
      </c>
      <c r="C121" s="7">
        <f t="shared" ca="1" si="20"/>
        <v>0.13804903188870177</v>
      </c>
      <c r="D121" s="7">
        <f t="shared" ca="1" si="21"/>
        <v>0.13858973028885782</v>
      </c>
      <c r="E121" s="7">
        <f t="shared" ca="1" si="22"/>
        <v>0.10710225844859719</v>
      </c>
      <c r="F121" s="7">
        <f t="shared" ca="1" si="23"/>
        <v>0.14067283462584132</v>
      </c>
      <c r="G121" s="7">
        <f t="shared" ca="1" si="24"/>
        <v>0.15883579511080453</v>
      </c>
      <c r="H121" s="5">
        <v>115</v>
      </c>
      <c r="I121" s="7">
        <f t="shared" ca="1" si="25"/>
        <v>0.10710225844859719</v>
      </c>
      <c r="J121" s="7">
        <f t="shared" ca="1" si="26"/>
        <v>23.037348443274695</v>
      </c>
      <c r="K121" s="7">
        <f t="shared" ca="1" si="27"/>
        <v>3.406690986388861</v>
      </c>
    </row>
    <row r="122" spans="1:11">
      <c r="A122" s="7">
        <f t="shared" ca="1" si="18"/>
        <v>22.500099658457771</v>
      </c>
      <c r="B122" s="7">
        <f t="shared" ca="1" si="19"/>
        <v>0.17712827419035487</v>
      </c>
      <c r="C122" s="7">
        <f t="shared" ca="1" si="20"/>
        <v>0.10211831321329422</v>
      </c>
      <c r="D122" s="7">
        <f t="shared" ca="1" si="21"/>
        <v>0.13060693274135249</v>
      </c>
      <c r="E122" s="7">
        <f t="shared" ca="1" si="22"/>
        <v>0.12660401705448621</v>
      </c>
      <c r="F122" s="7">
        <f t="shared" ca="1" si="23"/>
        <v>0.12715796127448684</v>
      </c>
      <c r="G122" s="7">
        <f t="shared" ca="1" si="24"/>
        <v>0.11258685444802348</v>
      </c>
      <c r="H122">
        <v>116</v>
      </c>
      <c r="I122" s="7">
        <f t="shared" ca="1" si="25"/>
        <v>0.10211831321329422</v>
      </c>
      <c r="J122" s="7">
        <f t="shared" ca="1" si="26"/>
        <v>22.500099658457771</v>
      </c>
      <c r="K122" s="7">
        <f t="shared" ca="1" si="27"/>
        <v>3.3251860016256809</v>
      </c>
    </row>
    <row r="123" spans="1:11">
      <c r="A123" s="7">
        <f t="shared" ca="1" si="18"/>
        <v>18.388688861763889</v>
      </c>
      <c r="B123" s="7">
        <f t="shared" ca="1" si="19"/>
        <v>0.17709334803390125</v>
      </c>
      <c r="C123" s="7">
        <f t="shared" ca="1" si="20"/>
        <v>0.12238617774871782</v>
      </c>
      <c r="D123" s="7">
        <f t="shared" ca="1" si="21"/>
        <v>0.1558633611605684</v>
      </c>
      <c r="E123" s="7">
        <f t="shared" ca="1" si="22"/>
        <v>0.14996984681277545</v>
      </c>
      <c r="F123" s="7">
        <f t="shared" ca="1" si="23"/>
        <v>0.11840282028015549</v>
      </c>
      <c r="G123" s="7">
        <f t="shared" ca="1" si="24"/>
        <v>0.15971441297952757</v>
      </c>
      <c r="H123" s="5">
        <v>117</v>
      </c>
      <c r="I123" s="7">
        <f t="shared" ca="1" si="25"/>
        <v>0.11840282028015549</v>
      </c>
      <c r="J123" s="7">
        <f t="shared" ca="1" si="26"/>
        <v>18.388688861763889</v>
      </c>
      <c r="K123" s="7">
        <f t="shared" ca="1" si="27"/>
        <v>2.7531598326827913</v>
      </c>
    </row>
    <row r="124" spans="1:11">
      <c r="A124" s="7">
        <f t="shared" ca="1" si="18"/>
        <v>25.478711558414798</v>
      </c>
      <c r="B124" s="7">
        <f t="shared" ca="1" si="19"/>
        <v>0.16342173172260832</v>
      </c>
      <c r="C124" s="7">
        <f t="shared" ca="1" si="20"/>
        <v>0.11216102352505003</v>
      </c>
      <c r="D124" s="7">
        <f t="shared" ca="1" si="21"/>
        <v>0.10342777980183498</v>
      </c>
      <c r="E124" s="7">
        <f t="shared" ca="1" si="22"/>
        <v>0.10183589589120885</v>
      </c>
      <c r="F124" s="7">
        <f t="shared" ca="1" si="23"/>
        <v>0.1089564259710426</v>
      </c>
      <c r="G124" s="7">
        <f t="shared" ca="1" si="24"/>
        <v>0.18710053640268212</v>
      </c>
      <c r="H124">
        <v>118</v>
      </c>
      <c r="I124" s="7">
        <f t="shared" ca="1" si="25"/>
        <v>0.10183589589120885</v>
      </c>
      <c r="J124" s="7">
        <f t="shared" ca="1" si="26"/>
        <v>25.478711558414798</v>
      </c>
      <c r="K124" s="7">
        <f t="shared" ca="1" si="27"/>
        <v>3.750802135961318</v>
      </c>
    </row>
    <row r="125" spans="1:11">
      <c r="A125" s="7">
        <f t="shared" ca="1" si="18"/>
        <v>18.416204732505292</v>
      </c>
      <c r="B125" s="7">
        <f t="shared" ca="1" si="19"/>
        <v>0.17067125317494411</v>
      </c>
      <c r="C125" s="7">
        <f t="shared" ca="1" si="20"/>
        <v>0.13029498032470324</v>
      </c>
      <c r="D125" s="7">
        <f t="shared" ca="1" si="21"/>
        <v>0.1330167788027618</v>
      </c>
      <c r="E125" s="7">
        <f t="shared" ca="1" si="22"/>
        <v>0.13883231087451389</v>
      </c>
      <c r="F125" s="7">
        <f t="shared" ca="1" si="23"/>
        <v>0.13178618813872472</v>
      </c>
      <c r="G125" s="7">
        <f t="shared" ca="1" si="24"/>
        <v>0.16809610604459496</v>
      </c>
      <c r="H125" s="5">
        <v>119</v>
      </c>
      <c r="I125" s="7">
        <f t="shared" ca="1" si="25"/>
        <v>0.13029498032470324</v>
      </c>
      <c r="J125" s="7">
        <f t="shared" ca="1" si="26"/>
        <v>18.416204732505292</v>
      </c>
      <c r="K125" s="7">
        <f t="shared" ca="1" si="27"/>
        <v>2.7555574785522192</v>
      </c>
    </row>
    <row r="126" spans="1:11">
      <c r="A126" s="7">
        <f t="shared" ca="1" si="18"/>
        <v>22.689966539536201</v>
      </c>
      <c r="B126" s="7">
        <f t="shared" ca="1" si="19"/>
        <v>0.11851947889051637</v>
      </c>
      <c r="C126" s="7">
        <f t="shared" ca="1" si="20"/>
        <v>0.11695069526730226</v>
      </c>
      <c r="D126" s="7">
        <f t="shared" ca="1" si="21"/>
        <v>0.13072072197767576</v>
      </c>
      <c r="E126" s="7">
        <f t="shared" ca="1" si="22"/>
        <v>0.13810424639023</v>
      </c>
      <c r="F126" s="7">
        <f t="shared" ca="1" si="23"/>
        <v>0.11193270855289397</v>
      </c>
      <c r="G126" s="7">
        <f t="shared" ca="1" si="24"/>
        <v>0.13028201534302472</v>
      </c>
      <c r="H126">
        <v>120</v>
      </c>
      <c r="I126" s="7">
        <f t="shared" ca="1" si="25"/>
        <v>0.11193270855289397</v>
      </c>
      <c r="J126" s="7">
        <f t="shared" ca="1" si="26"/>
        <v>22.689966539536201</v>
      </c>
      <c r="K126" s="7">
        <f t="shared" ca="1" si="27"/>
        <v>3.3480680579939772</v>
      </c>
    </row>
    <row r="127" spans="1:11">
      <c r="A127" s="7">
        <f t="shared" ca="1" si="18"/>
        <v>23.096857638616171</v>
      </c>
      <c r="B127" s="7">
        <f t="shared" ca="1" si="19"/>
        <v>0.11117722441372258</v>
      </c>
      <c r="C127" s="7">
        <f t="shared" ca="1" si="20"/>
        <v>0.10098585767229316</v>
      </c>
      <c r="D127" s="7">
        <f t="shared" ca="1" si="21"/>
        <v>0.16582629466324483</v>
      </c>
      <c r="E127" s="7">
        <f t="shared" ca="1" si="22"/>
        <v>0.14768609406307243</v>
      </c>
      <c r="F127" s="7">
        <f t="shared" ca="1" si="23"/>
        <v>0.14137704778512589</v>
      </c>
      <c r="G127" s="7">
        <f t="shared" ca="1" si="24"/>
        <v>0.20013817583066862</v>
      </c>
      <c r="H127" s="5">
        <v>121</v>
      </c>
      <c r="I127" s="7">
        <f t="shared" ca="1" si="25"/>
        <v>0.10098585767229316</v>
      </c>
      <c r="J127" s="7">
        <f t="shared" ca="1" si="26"/>
        <v>23.096857638616171</v>
      </c>
      <c r="K127" s="7">
        <f t="shared" ca="1" si="27"/>
        <v>3.4234354761491859</v>
      </c>
    </row>
    <row r="128" spans="1:11">
      <c r="A128" s="7">
        <f t="shared" ca="1" si="18"/>
        <v>22.606456498818957</v>
      </c>
      <c r="B128" s="7">
        <f t="shared" ca="1" si="19"/>
        <v>0.12203931391915805</v>
      </c>
      <c r="C128" s="7">
        <f t="shared" ca="1" si="20"/>
        <v>0.10047806347736736</v>
      </c>
      <c r="D128" s="7">
        <f t="shared" ca="1" si="21"/>
        <v>0.14077712524941977</v>
      </c>
      <c r="E128" s="7">
        <f t="shared" ca="1" si="22"/>
        <v>0.14860457957018314</v>
      </c>
      <c r="F128" s="7">
        <f t="shared" ca="1" si="23"/>
        <v>0.1287698486582684</v>
      </c>
      <c r="G128" s="7">
        <f t="shared" ca="1" si="24"/>
        <v>0.12570385579756305</v>
      </c>
      <c r="H128">
        <v>122</v>
      </c>
      <c r="I128" s="7">
        <f t="shared" ca="1" si="25"/>
        <v>0.10047806347736736</v>
      </c>
      <c r="J128" s="7">
        <f t="shared" ca="1" si="26"/>
        <v>22.606456498818957</v>
      </c>
      <c r="K128" s="7">
        <f t="shared" ca="1" si="27"/>
        <v>3.3389756122129883</v>
      </c>
    </row>
    <row r="129" spans="1:11">
      <c r="A129" s="7">
        <f t="shared" ca="1" si="18"/>
        <v>23.840855727884026</v>
      </c>
      <c r="B129" s="7">
        <f t="shared" ca="1" si="19"/>
        <v>0.16947217727927433</v>
      </c>
      <c r="C129" s="7">
        <f t="shared" ca="1" si="20"/>
        <v>0.12410729642893105</v>
      </c>
      <c r="D129" s="7">
        <f t="shared" ca="1" si="21"/>
        <v>0.18462058159921801</v>
      </c>
      <c r="E129" s="7">
        <f t="shared" ca="1" si="22"/>
        <v>0.14515479169702702</v>
      </c>
      <c r="F129" s="7">
        <f t="shared" ca="1" si="23"/>
        <v>0.13526993098208323</v>
      </c>
      <c r="G129" s="7">
        <f t="shared" ca="1" si="24"/>
        <v>0.15525292653745343</v>
      </c>
      <c r="H129" s="5">
        <v>123</v>
      </c>
      <c r="I129" s="7">
        <f t="shared" ca="1" si="25"/>
        <v>0.12410729642893105</v>
      </c>
      <c r="J129" s="7">
        <f t="shared" ca="1" si="26"/>
        <v>23.840855727884026</v>
      </c>
      <c r="K129" s="7">
        <f t="shared" ca="1" si="27"/>
        <v>3.5363904903440022</v>
      </c>
    </row>
    <row r="130" spans="1:11">
      <c r="A130" s="7">
        <f t="shared" ca="1" si="18"/>
        <v>21.144170029512246</v>
      </c>
      <c r="B130" s="7">
        <f t="shared" ca="1" si="19"/>
        <v>0.14016060775546546</v>
      </c>
      <c r="C130" s="7">
        <f t="shared" ca="1" si="20"/>
        <v>0.11891393579802509</v>
      </c>
      <c r="D130" s="7">
        <f t="shared" ca="1" si="21"/>
        <v>0.11006527450774647</v>
      </c>
      <c r="E130" s="7">
        <f t="shared" ca="1" si="22"/>
        <v>0.13026893307358073</v>
      </c>
      <c r="F130" s="7">
        <f t="shared" ca="1" si="23"/>
        <v>0.14696408254003368</v>
      </c>
      <c r="G130" s="7">
        <f t="shared" ca="1" si="24"/>
        <v>0.15944763572557405</v>
      </c>
      <c r="H130">
        <v>124</v>
      </c>
      <c r="I130" s="7">
        <f t="shared" ca="1" si="25"/>
        <v>0.11006527450774647</v>
      </c>
      <c r="J130" s="7">
        <f t="shared" ca="1" si="26"/>
        <v>21.144170029512246</v>
      </c>
      <c r="K130" s="7">
        <f t="shared" ca="1" si="27"/>
        <v>3.1357129284160963</v>
      </c>
    </row>
    <row r="131" spans="1:11">
      <c r="A131" s="7">
        <f t="shared" ca="1" si="18"/>
        <v>23.158209659469417</v>
      </c>
      <c r="B131" s="7">
        <f t="shared" ca="1" si="19"/>
        <v>0.15695187137168298</v>
      </c>
      <c r="C131" s="7">
        <f t="shared" ca="1" si="20"/>
        <v>0.12591506631294067</v>
      </c>
      <c r="D131" s="7">
        <f t="shared" ca="1" si="21"/>
        <v>0.10079256715879313</v>
      </c>
      <c r="E131" s="7">
        <f t="shared" ca="1" si="22"/>
        <v>0.14961558394367297</v>
      </c>
      <c r="F131" s="7">
        <f t="shared" ca="1" si="23"/>
        <v>0.13513834508951239</v>
      </c>
      <c r="G131" s="7">
        <f t="shared" ca="1" si="24"/>
        <v>0.10084408013601821</v>
      </c>
      <c r="H131" s="5">
        <v>125</v>
      </c>
      <c r="I131" s="7">
        <f t="shared" ca="1" si="25"/>
        <v>0.10079256715879313</v>
      </c>
      <c r="J131" s="7">
        <f t="shared" ca="1" si="26"/>
        <v>23.158209659469417</v>
      </c>
      <c r="K131" s="7">
        <f t="shared" ca="1" si="27"/>
        <v>3.41820959621172</v>
      </c>
    </row>
    <row r="132" spans="1:11">
      <c r="A132" s="7">
        <f t="shared" ca="1" si="18"/>
        <v>24.227348344123286</v>
      </c>
      <c r="B132" s="7">
        <f t="shared" ca="1" si="19"/>
        <v>0.1527558016939049</v>
      </c>
      <c r="C132" s="7">
        <f t="shared" ca="1" si="20"/>
        <v>0.1096124498580997</v>
      </c>
      <c r="D132" s="7">
        <f t="shared" ca="1" si="21"/>
        <v>0.16136712773287201</v>
      </c>
      <c r="E132" s="7">
        <f t="shared" ca="1" si="22"/>
        <v>0.11083534343509092</v>
      </c>
      <c r="F132" s="7">
        <f t="shared" ca="1" si="23"/>
        <v>0.13840693955859648</v>
      </c>
      <c r="G132" s="7">
        <f t="shared" ca="1" si="24"/>
        <v>0.20458075859346969</v>
      </c>
      <c r="H132">
        <v>126</v>
      </c>
      <c r="I132" s="7">
        <f t="shared" ca="1" si="25"/>
        <v>0.1096124498580997</v>
      </c>
      <c r="J132" s="7">
        <f t="shared" ca="1" si="26"/>
        <v>24.227348344123286</v>
      </c>
      <c r="K132" s="7">
        <f t="shared" ca="1" si="27"/>
        <v>3.5864152521421886</v>
      </c>
    </row>
    <row r="133" spans="1:11">
      <c r="A133" s="7">
        <f t="shared" ca="1" si="18"/>
        <v>20.171889852489976</v>
      </c>
      <c r="B133" s="7">
        <f t="shared" ca="1" si="19"/>
        <v>0.16249385059543348</v>
      </c>
      <c r="C133" s="7">
        <f t="shared" ca="1" si="20"/>
        <v>0.12921531420198099</v>
      </c>
      <c r="D133" s="7">
        <f t="shared" ca="1" si="21"/>
        <v>0.14576020821582023</v>
      </c>
      <c r="E133" s="7">
        <f t="shared" ca="1" si="22"/>
        <v>0.13175343683677138</v>
      </c>
      <c r="F133" s="7">
        <f t="shared" ca="1" si="23"/>
        <v>0.1572107922648516</v>
      </c>
      <c r="G133" s="7">
        <f t="shared" ca="1" si="24"/>
        <v>0.17164475704911888</v>
      </c>
      <c r="H133" s="5">
        <v>127</v>
      </c>
      <c r="I133" s="7">
        <f t="shared" ca="1" si="25"/>
        <v>0.12921531420198099</v>
      </c>
      <c r="J133" s="7">
        <f t="shared" ca="1" si="26"/>
        <v>20.171889852489976</v>
      </c>
      <c r="K133" s="7">
        <f t="shared" ca="1" si="27"/>
        <v>3.0099954588077074</v>
      </c>
    </row>
    <row r="134" spans="1:11">
      <c r="A134" s="7">
        <f t="shared" ca="1" si="18"/>
        <v>20.748710679607605</v>
      </c>
      <c r="B134" s="7">
        <f t="shared" ca="1" si="19"/>
        <v>0.17389305464873545</v>
      </c>
      <c r="C134" s="7">
        <f t="shared" ca="1" si="20"/>
        <v>0.13207510019335214</v>
      </c>
      <c r="D134" s="7">
        <f t="shared" ca="1" si="21"/>
        <v>0.12365604522531493</v>
      </c>
      <c r="E134" s="7">
        <f t="shared" ca="1" si="22"/>
        <v>0.1236905986030753</v>
      </c>
      <c r="F134" s="7">
        <f t="shared" ca="1" si="23"/>
        <v>0.13121193888353219</v>
      </c>
      <c r="G134" s="7">
        <f t="shared" ca="1" si="24"/>
        <v>0.12585520048889351</v>
      </c>
      <c r="H134">
        <v>128</v>
      </c>
      <c r="I134" s="7">
        <f t="shared" ca="1" si="25"/>
        <v>0.12365604522531493</v>
      </c>
      <c r="J134" s="7">
        <f t="shared" ca="1" si="26"/>
        <v>20.748710679607605</v>
      </c>
      <c r="K134" s="7">
        <f t="shared" ca="1" si="27"/>
        <v>3.0798703739500723</v>
      </c>
    </row>
    <row r="135" spans="1:11">
      <c r="A135" s="7">
        <f t="shared" ref="A135:A150" ca="1" si="28">RAND()*($A$5-$A$4)+$A$4</f>
        <v>23.647015100045728</v>
      </c>
      <c r="B135" s="7">
        <f t="shared" ca="1" si="19"/>
        <v>0.12287403753905599</v>
      </c>
      <c r="C135" s="7">
        <f t="shared" ca="1" si="20"/>
        <v>0.13038689419013602</v>
      </c>
      <c r="D135" s="7">
        <f t="shared" ca="1" si="21"/>
        <v>0.17767902765164306</v>
      </c>
      <c r="E135" s="7">
        <f t="shared" ca="1" si="22"/>
        <v>0.12953722150087968</v>
      </c>
      <c r="F135" s="7">
        <f t="shared" ca="1" si="23"/>
        <v>0.10476092729237456</v>
      </c>
      <c r="G135" s="7">
        <f t="shared" ca="1" si="24"/>
        <v>0.12026355171501531</v>
      </c>
      <c r="H135" s="5">
        <v>129</v>
      </c>
    </row>
    <row r="136" spans="1:11">
      <c r="A136" s="7">
        <f t="shared" ca="1" si="28"/>
        <v>20.176332938191969</v>
      </c>
      <c r="B136" s="7">
        <f t="shared" ref="B136:B150" ca="1" si="29">RAND()*($B$5-$B$4)+$B$4</f>
        <v>0.14470137247343112</v>
      </c>
      <c r="C136" s="7">
        <f t="shared" ref="C136:C150" ca="1" si="30">RAND()*($C$5-$C$4)+$C$4</f>
        <v>0.13110847876174367</v>
      </c>
      <c r="D136" s="7">
        <f t="shared" ref="D136:D150" ca="1" si="31">RAND()*($D$5-$D$4)+$D$4</f>
        <v>0.13751482853791172</v>
      </c>
      <c r="E136" s="7">
        <f t="shared" ref="E136:E150" ca="1" si="32">RAND()*($E$5-$E$4)+$E$4</f>
        <v>0.11226077142834374</v>
      </c>
      <c r="F136" s="7">
        <f t="shared" ref="F136:F150" ca="1" si="33">RAND()*($F$5-$F$4)+$F$4</f>
        <v>0.14237011581256004</v>
      </c>
      <c r="G136" s="7">
        <f t="shared" ref="G136:G150" ca="1" si="34">RAND()*($G$5-$G$4)+$G$4</f>
        <v>0.185463589321269</v>
      </c>
      <c r="H136">
        <v>130</v>
      </c>
    </row>
    <row r="137" spans="1:11">
      <c r="A137" s="7">
        <f t="shared" ca="1" si="28"/>
        <v>23.936382926611305</v>
      </c>
      <c r="B137" s="7">
        <f t="shared" ca="1" si="29"/>
        <v>0.14318010712966345</v>
      </c>
      <c r="C137" s="7">
        <f t="shared" ca="1" si="30"/>
        <v>0.11592365161746476</v>
      </c>
      <c r="D137" s="7">
        <f t="shared" ca="1" si="31"/>
        <v>0.18826061749229278</v>
      </c>
      <c r="E137" s="7">
        <f t="shared" ca="1" si="32"/>
        <v>0.14193963750971206</v>
      </c>
      <c r="F137" s="7">
        <f t="shared" ca="1" si="33"/>
        <v>0.14815042115402943</v>
      </c>
      <c r="G137" s="7">
        <f t="shared" ca="1" si="34"/>
        <v>0.1355654487673966</v>
      </c>
      <c r="H137" s="5">
        <v>131</v>
      </c>
    </row>
    <row r="138" spans="1:11">
      <c r="A138" s="7">
        <f t="shared" ca="1" si="28"/>
        <v>25.839536551697869</v>
      </c>
      <c r="B138" s="7">
        <f t="shared" ca="1" si="29"/>
        <v>0.14851482965347546</v>
      </c>
      <c r="C138" s="7">
        <f t="shared" ca="1" si="30"/>
        <v>0.1340608673224897</v>
      </c>
      <c r="D138" s="7">
        <f t="shared" ca="1" si="31"/>
        <v>0.14032750521784937</v>
      </c>
      <c r="E138" s="7">
        <f t="shared" ca="1" si="32"/>
        <v>0.12718883940152365</v>
      </c>
      <c r="F138" s="7">
        <f t="shared" ca="1" si="33"/>
        <v>0.12972685951531449</v>
      </c>
      <c r="G138" s="7">
        <f t="shared" ca="1" si="34"/>
        <v>0.14504403343008015</v>
      </c>
      <c r="H138">
        <v>132</v>
      </c>
    </row>
    <row r="139" spans="1:11">
      <c r="A139" s="7">
        <f t="shared" ca="1" si="28"/>
        <v>25.143181388137169</v>
      </c>
      <c r="B139" s="7">
        <f t="shared" ca="1" si="29"/>
        <v>0.11577733922846868</v>
      </c>
      <c r="C139" s="7">
        <f t="shared" ca="1" si="30"/>
        <v>0.13754834999908061</v>
      </c>
      <c r="D139" s="7">
        <f t="shared" ca="1" si="31"/>
        <v>0.14985885446086319</v>
      </c>
      <c r="E139" s="7">
        <f t="shared" ca="1" si="32"/>
        <v>0.12836468929296954</v>
      </c>
      <c r="F139" s="7">
        <f t="shared" ca="1" si="33"/>
        <v>0.1467676150864124</v>
      </c>
      <c r="G139" s="7">
        <f t="shared" ca="1" si="34"/>
        <v>0.16116360958171655</v>
      </c>
      <c r="H139" s="5">
        <v>133</v>
      </c>
    </row>
    <row r="140" spans="1:11">
      <c r="A140" s="7">
        <f t="shared" ca="1" si="28"/>
        <v>24.756094489579468</v>
      </c>
      <c r="B140" s="7">
        <f t="shared" ca="1" si="29"/>
        <v>0.10401337258201322</v>
      </c>
      <c r="C140" s="7">
        <f t="shared" ca="1" si="30"/>
        <v>0.13748026555601495</v>
      </c>
      <c r="D140" s="7">
        <f t="shared" ca="1" si="31"/>
        <v>0.18912770271816087</v>
      </c>
      <c r="E140" s="7">
        <f t="shared" ca="1" si="32"/>
        <v>0.13322595458847289</v>
      </c>
      <c r="F140" s="7">
        <f t="shared" ca="1" si="33"/>
        <v>0.12157869282925189</v>
      </c>
      <c r="G140" s="7">
        <f t="shared" ca="1" si="34"/>
        <v>0.20619252317268882</v>
      </c>
      <c r="H140">
        <v>134</v>
      </c>
    </row>
    <row r="141" spans="1:11">
      <c r="A141" s="7">
        <f t="shared" ca="1" si="28"/>
        <v>21.255118568581857</v>
      </c>
      <c r="B141" s="7">
        <f t="shared" ca="1" si="29"/>
        <v>0.11906221604460449</v>
      </c>
      <c r="C141" s="7">
        <f t="shared" ca="1" si="30"/>
        <v>0.13303520730750684</v>
      </c>
      <c r="D141" s="7">
        <f t="shared" ca="1" si="31"/>
        <v>0.12157789527053309</v>
      </c>
      <c r="E141" s="7">
        <f t="shared" ca="1" si="32"/>
        <v>0.12635631965668057</v>
      </c>
      <c r="F141" s="7">
        <f t="shared" ca="1" si="33"/>
        <v>0.1469383184852863</v>
      </c>
      <c r="G141" s="7">
        <f t="shared" ca="1" si="34"/>
        <v>0.16593600042720771</v>
      </c>
      <c r="H141" s="5">
        <v>135</v>
      </c>
    </row>
    <row r="142" spans="1:11">
      <c r="A142" s="7">
        <f t="shared" ca="1" si="28"/>
        <v>25.028035142142354</v>
      </c>
      <c r="B142" s="7">
        <f t="shared" ca="1" si="29"/>
        <v>0.10084341916607961</v>
      </c>
      <c r="C142" s="7">
        <f t="shared" ca="1" si="30"/>
        <v>0.13679601688218804</v>
      </c>
      <c r="D142" s="7">
        <f t="shared" ca="1" si="31"/>
        <v>0.13040534777877894</v>
      </c>
      <c r="E142" s="7">
        <f t="shared" ca="1" si="32"/>
        <v>0.10762097876734547</v>
      </c>
      <c r="F142" s="7">
        <f t="shared" ca="1" si="33"/>
        <v>0.1461395451194499</v>
      </c>
      <c r="G142" s="7">
        <f t="shared" ca="1" si="34"/>
        <v>0.11349018872734803</v>
      </c>
      <c r="H142">
        <v>136</v>
      </c>
    </row>
    <row r="143" spans="1:11">
      <c r="A143" s="7">
        <f t="shared" ca="1" si="28"/>
        <v>23.418299995069606</v>
      </c>
      <c r="B143" s="7">
        <f t="shared" ca="1" si="29"/>
        <v>0.10662460015761734</v>
      </c>
      <c r="C143" s="7">
        <f t="shared" ca="1" si="30"/>
        <v>0.11518183993210075</v>
      </c>
      <c r="D143" s="7">
        <f t="shared" ca="1" si="31"/>
        <v>0.10032378560862107</v>
      </c>
      <c r="E143" s="7">
        <f t="shared" ca="1" si="32"/>
        <v>0.12956295994613681</v>
      </c>
      <c r="F143" s="7">
        <f t="shared" ca="1" si="33"/>
        <v>0.15269798514791311</v>
      </c>
      <c r="G143" s="7">
        <f t="shared" ca="1" si="34"/>
        <v>0.10896197747707692</v>
      </c>
      <c r="H143" s="5">
        <v>137</v>
      </c>
    </row>
    <row r="144" spans="1:11">
      <c r="A144" s="7">
        <f t="shared" ca="1" si="28"/>
        <v>18.378337329192714</v>
      </c>
      <c r="B144" s="7">
        <f t="shared" ca="1" si="29"/>
        <v>0.17511455365763059</v>
      </c>
      <c r="C144" s="7">
        <f t="shared" ca="1" si="30"/>
        <v>0.11800850438278426</v>
      </c>
      <c r="D144" s="7">
        <f t="shared" ca="1" si="31"/>
        <v>0.14972838737148553</v>
      </c>
      <c r="E144" s="7">
        <f t="shared" ca="1" si="32"/>
        <v>0.14876340295401858</v>
      </c>
      <c r="F144" s="7">
        <f t="shared" ca="1" si="33"/>
        <v>0.11037963166801575</v>
      </c>
      <c r="G144" s="7">
        <f t="shared" ca="1" si="34"/>
        <v>0.14052092377056341</v>
      </c>
      <c r="H144">
        <v>138</v>
      </c>
    </row>
    <row r="145" spans="1:8">
      <c r="A145" s="7">
        <f t="shared" ca="1" si="28"/>
        <v>25.736103473027196</v>
      </c>
      <c r="B145" s="7">
        <f t="shared" ca="1" si="29"/>
        <v>0.12610115593750532</v>
      </c>
      <c r="C145" s="7">
        <f t="shared" ca="1" si="30"/>
        <v>0.1399486050953645</v>
      </c>
      <c r="D145" s="7">
        <f t="shared" ca="1" si="31"/>
        <v>0.12123477788827342</v>
      </c>
      <c r="E145" s="7">
        <f t="shared" ca="1" si="32"/>
        <v>0.10367634977694631</v>
      </c>
      <c r="F145" s="7">
        <f t="shared" ca="1" si="33"/>
        <v>0.11990841459830795</v>
      </c>
      <c r="G145" s="7">
        <f t="shared" ca="1" si="34"/>
        <v>0.15512036088309308</v>
      </c>
      <c r="H145" s="5">
        <v>139</v>
      </c>
    </row>
    <row r="146" spans="1:8">
      <c r="A146" s="7">
        <f t="shared" ca="1" si="28"/>
        <v>22.858868865036097</v>
      </c>
      <c r="B146" s="7">
        <f t="shared" ca="1" si="29"/>
        <v>0.10370435285641585</v>
      </c>
      <c r="C146" s="7">
        <f t="shared" ca="1" si="30"/>
        <v>0.12350565333390133</v>
      </c>
      <c r="D146" s="7">
        <f t="shared" ca="1" si="31"/>
        <v>0.18811546828136838</v>
      </c>
      <c r="E146" s="7">
        <f t="shared" ca="1" si="32"/>
        <v>0.14505775229413337</v>
      </c>
      <c r="F146" s="7">
        <f t="shared" ca="1" si="33"/>
        <v>0.10756865899264691</v>
      </c>
      <c r="G146" s="7">
        <f t="shared" ca="1" si="34"/>
        <v>0.11920910756060343</v>
      </c>
      <c r="H146">
        <v>140</v>
      </c>
    </row>
    <row r="147" spans="1:8">
      <c r="A147" s="7">
        <f t="shared" ca="1" si="28"/>
        <v>21.220920455619758</v>
      </c>
      <c r="B147" s="7">
        <f t="shared" ca="1" si="29"/>
        <v>0.17539840207534785</v>
      </c>
      <c r="C147" s="7">
        <f t="shared" ca="1" si="30"/>
        <v>0.11437287719887396</v>
      </c>
      <c r="D147" s="7">
        <f t="shared" ca="1" si="31"/>
        <v>0.10626159394592574</v>
      </c>
      <c r="E147" s="7">
        <f t="shared" ca="1" si="32"/>
        <v>0.13626448382149736</v>
      </c>
      <c r="F147" s="7">
        <f t="shared" ca="1" si="33"/>
        <v>0.11291947204609123</v>
      </c>
      <c r="G147" s="7">
        <f t="shared" ca="1" si="34"/>
        <v>0.17645334405120866</v>
      </c>
      <c r="H147" s="5">
        <v>141</v>
      </c>
    </row>
    <row r="148" spans="1:8">
      <c r="A148" s="7">
        <f t="shared" ca="1" si="28"/>
        <v>19.013888860199113</v>
      </c>
      <c r="B148" s="7">
        <f t="shared" ca="1" si="29"/>
        <v>0.14928581646745523</v>
      </c>
      <c r="C148" s="7">
        <f t="shared" ca="1" si="30"/>
        <v>0.13888197477328365</v>
      </c>
      <c r="D148" s="7">
        <f t="shared" ca="1" si="31"/>
        <v>0.12869254694150128</v>
      </c>
      <c r="E148" s="7">
        <f t="shared" ca="1" si="32"/>
        <v>0.14896951653043383</v>
      </c>
      <c r="F148" s="7">
        <f t="shared" ca="1" si="33"/>
        <v>0.15014737817589591</v>
      </c>
      <c r="G148" s="7">
        <f t="shared" ca="1" si="34"/>
        <v>0.13274329737786097</v>
      </c>
      <c r="H148">
        <v>142</v>
      </c>
    </row>
    <row r="149" spans="1:8">
      <c r="A149" s="7">
        <f t="shared" ca="1" si="28"/>
        <v>21.832633963267412</v>
      </c>
      <c r="B149" s="7">
        <f t="shared" ca="1" si="29"/>
        <v>0.14676477507479879</v>
      </c>
      <c r="C149" s="7">
        <f t="shared" ca="1" si="30"/>
        <v>0.11003524566600045</v>
      </c>
      <c r="D149" s="7">
        <f t="shared" ca="1" si="31"/>
        <v>0.18607207062543374</v>
      </c>
      <c r="E149" s="7">
        <f t="shared" ca="1" si="32"/>
        <v>0.10514817712786698</v>
      </c>
      <c r="F149" s="7">
        <f t="shared" ca="1" si="33"/>
        <v>0.10734851343365907</v>
      </c>
      <c r="G149" s="7">
        <f t="shared" ca="1" si="34"/>
        <v>0.14275026497125115</v>
      </c>
      <c r="H149" s="5">
        <v>143</v>
      </c>
    </row>
    <row r="150" spans="1:8">
      <c r="A150" s="7">
        <f t="shared" ca="1" si="28"/>
        <v>22.55584082048356</v>
      </c>
      <c r="B150" s="7">
        <f t="shared" ca="1" si="29"/>
        <v>0.1286152097989475</v>
      </c>
      <c r="C150" s="7">
        <f t="shared" ca="1" si="30"/>
        <v>0.12198548369728526</v>
      </c>
      <c r="D150" s="7">
        <f t="shared" ca="1" si="31"/>
        <v>0.15997662449657482</v>
      </c>
      <c r="E150" s="7">
        <f t="shared" ca="1" si="32"/>
        <v>0.11414695096745488</v>
      </c>
      <c r="F150" s="7">
        <f t="shared" ca="1" si="33"/>
        <v>0.14714676575299521</v>
      </c>
      <c r="G150" s="7">
        <f t="shared" ca="1" si="34"/>
        <v>0.19443213874256024</v>
      </c>
      <c r="H150">
        <v>144</v>
      </c>
    </row>
    <row r="151" spans="1:8">
      <c r="A151" s="5"/>
      <c r="B151" s="5"/>
      <c r="C151" s="5"/>
      <c r="D151" s="5"/>
      <c r="E151" s="5"/>
      <c r="F151" s="5"/>
      <c r="G151" s="5"/>
    </row>
    <row r="152" spans="1:8">
      <c r="A152" s="5"/>
      <c r="B152" s="5"/>
      <c r="C152" s="5"/>
      <c r="D152" s="5"/>
      <c r="E152" s="5"/>
      <c r="F152" s="5"/>
      <c r="G152" s="5"/>
    </row>
    <row r="153" spans="1:8">
      <c r="A153" s="5"/>
      <c r="B153" s="5"/>
      <c r="C153" s="5"/>
      <c r="D153" s="5"/>
      <c r="E153" s="5"/>
      <c r="F153" s="5"/>
      <c r="G153" s="5"/>
    </row>
    <row r="154" spans="1:8">
      <c r="A154" s="5"/>
      <c r="B154" s="5"/>
      <c r="C154" s="5"/>
      <c r="D154" s="5"/>
      <c r="E154" s="5"/>
      <c r="F154" s="5"/>
      <c r="G154" s="5"/>
    </row>
    <row r="155" spans="1:8">
      <c r="A155" s="5"/>
      <c r="B155" s="5"/>
      <c r="C155" s="5"/>
      <c r="D155" s="5"/>
      <c r="E155" s="5"/>
      <c r="F155" s="5"/>
      <c r="G155" s="5"/>
    </row>
    <row r="156" spans="1:8">
      <c r="A156" s="5"/>
      <c r="B156" s="5"/>
      <c r="C156" s="5"/>
      <c r="D156" s="5"/>
      <c r="E156" s="5"/>
      <c r="F156" s="5"/>
      <c r="G156" s="5"/>
    </row>
    <row r="157" spans="1:8">
      <c r="A157" s="5"/>
      <c r="B157" s="5"/>
      <c r="C157" s="5"/>
      <c r="D157" s="5"/>
      <c r="E157" s="5"/>
      <c r="F157" s="5"/>
      <c r="G157" s="5"/>
    </row>
    <row r="158" spans="1:8">
      <c r="A158" s="5"/>
      <c r="B158" s="5"/>
      <c r="C158" s="5"/>
      <c r="D158" s="5"/>
      <c r="E158" s="5"/>
      <c r="F158" s="5"/>
      <c r="G158" s="5"/>
    </row>
    <row r="159" spans="1:8">
      <c r="A159" s="5"/>
      <c r="B159" s="5"/>
      <c r="C159" s="5"/>
      <c r="D159" s="5"/>
      <c r="E159" s="5"/>
      <c r="F159" s="5"/>
      <c r="G159" s="5"/>
    </row>
    <row r="160" spans="1:8">
      <c r="A160" s="5"/>
      <c r="B160" s="5"/>
      <c r="C160" s="5"/>
      <c r="D160" s="5"/>
      <c r="E160" s="5"/>
      <c r="F160" s="5"/>
      <c r="G160" s="5"/>
    </row>
    <row r="161" spans="1:7">
      <c r="A161" s="5"/>
      <c r="B161" s="5"/>
      <c r="C161" s="5"/>
      <c r="D161" s="5"/>
      <c r="E161" s="5"/>
      <c r="F161" s="5"/>
      <c r="G161" s="5"/>
    </row>
    <row r="162" spans="1:7">
      <c r="A162" s="5"/>
      <c r="B162" s="5"/>
      <c r="C162" s="5"/>
      <c r="D162" s="5"/>
      <c r="E162" s="5"/>
      <c r="F162" s="5"/>
      <c r="G162" s="5"/>
    </row>
    <row r="163" spans="1:7">
      <c r="A163" s="5"/>
      <c r="B163" s="5"/>
      <c r="C163" s="5"/>
      <c r="D163" s="5"/>
      <c r="E163" s="5"/>
      <c r="F163" s="5"/>
      <c r="G163" s="5"/>
    </row>
    <row r="164" spans="1:7">
      <c r="A164" s="5"/>
      <c r="B164" s="5"/>
      <c r="C164" s="5"/>
      <c r="D164" s="5"/>
      <c r="E164" s="5"/>
      <c r="F164" s="5"/>
      <c r="G164" s="5"/>
    </row>
    <row r="165" spans="1:7">
      <c r="A165" s="5"/>
      <c r="B165" s="5"/>
      <c r="C165" s="5"/>
      <c r="D165" s="5"/>
      <c r="E165" s="5"/>
      <c r="F165" s="5"/>
      <c r="G165" s="5"/>
    </row>
    <row r="166" spans="1:7">
      <c r="A166" s="5"/>
      <c r="B166" s="5"/>
      <c r="C166" s="5"/>
      <c r="D166" s="5"/>
      <c r="E166" s="5"/>
      <c r="F166" s="5"/>
      <c r="G166" s="5"/>
    </row>
    <row r="167" spans="1:7">
      <c r="A167" s="5"/>
      <c r="B167" s="5"/>
      <c r="C167" s="5"/>
      <c r="D167" s="5"/>
      <c r="E167" s="5"/>
      <c r="F167" s="5"/>
      <c r="G167" s="5"/>
    </row>
    <row r="168" spans="1:7">
      <c r="A168" s="5"/>
      <c r="B168" s="5"/>
      <c r="C168" s="5"/>
      <c r="D168" s="5"/>
      <c r="E168" s="5"/>
      <c r="F168" s="5"/>
      <c r="G168" s="5"/>
    </row>
    <row r="169" spans="1:7">
      <c r="A169" s="5"/>
      <c r="B169" s="5"/>
      <c r="C169" s="5"/>
      <c r="D169" s="5"/>
      <c r="E169" s="5"/>
      <c r="F169" s="5"/>
      <c r="G169" s="5"/>
    </row>
    <row r="170" spans="1:7">
      <c r="A170" s="5"/>
      <c r="B170" s="5"/>
      <c r="C170" s="5"/>
      <c r="D170" s="5"/>
      <c r="E170" s="5"/>
      <c r="F170" s="5"/>
      <c r="G170" s="5"/>
    </row>
    <row r="171" spans="1:7">
      <c r="A171" s="5"/>
      <c r="B171" s="5"/>
      <c r="C171" s="5"/>
      <c r="D171" s="5"/>
      <c r="E171" s="5"/>
      <c r="F171" s="5"/>
      <c r="G171" s="5"/>
    </row>
    <row r="172" spans="1:7">
      <c r="A172" s="5"/>
      <c r="B172" s="5"/>
      <c r="C172" s="5"/>
      <c r="D172" s="5"/>
      <c r="E172" s="5"/>
      <c r="F172" s="5"/>
      <c r="G172" s="5"/>
    </row>
    <row r="173" spans="1:7">
      <c r="A173" s="5"/>
      <c r="B173" s="5"/>
      <c r="C173" s="5"/>
      <c r="D173" s="5"/>
      <c r="E173" s="5"/>
      <c r="F173" s="5"/>
      <c r="G173" s="5"/>
    </row>
    <row r="174" spans="1:7">
      <c r="A174" s="5"/>
      <c r="B174" s="5"/>
      <c r="C174" s="5"/>
      <c r="D174" s="5"/>
      <c r="E174" s="5"/>
      <c r="F174" s="5"/>
      <c r="G174" s="5"/>
    </row>
    <row r="175" spans="1:7">
      <c r="A175" s="5"/>
      <c r="B175" s="5"/>
      <c r="C175" s="5"/>
      <c r="D175" s="5"/>
      <c r="E175" s="5"/>
      <c r="F175" s="5"/>
      <c r="G175" s="5"/>
    </row>
    <row r="176" spans="1:7">
      <c r="A176" s="5"/>
      <c r="B176" s="5"/>
      <c r="C176" s="5"/>
      <c r="D176" s="5"/>
      <c r="E176" s="5"/>
      <c r="F176" s="5"/>
      <c r="G176" s="5"/>
    </row>
    <row r="177" spans="1:7">
      <c r="A177" s="5"/>
      <c r="B177" s="5"/>
      <c r="C177" s="5"/>
      <c r="D177" s="5"/>
      <c r="E177" s="5"/>
      <c r="F177" s="5"/>
      <c r="G177" s="5"/>
    </row>
    <row r="178" spans="1:7">
      <c r="A178" s="5"/>
      <c r="B178" s="5"/>
      <c r="C178" s="5"/>
      <c r="D178" s="5"/>
      <c r="E178" s="5"/>
      <c r="F178" s="5"/>
      <c r="G178" s="5"/>
    </row>
    <row r="179" spans="1:7">
      <c r="A179" s="5"/>
      <c r="B179" s="5"/>
      <c r="C179" s="5"/>
      <c r="D179" s="5"/>
      <c r="E179" s="5"/>
      <c r="F179" s="5"/>
      <c r="G179" s="5"/>
    </row>
    <row r="180" spans="1:7">
      <c r="A180" s="5"/>
      <c r="B180" s="5"/>
      <c r="C180" s="5"/>
      <c r="D180" s="5"/>
      <c r="E180" s="5"/>
      <c r="F180" s="5"/>
      <c r="G180" s="5"/>
    </row>
    <row r="181" spans="1:7">
      <c r="A181" s="5"/>
      <c r="B181" s="5"/>
      <c r="C181" s="5"/>
      <c r="D181" s="5"/>
      <c r="E181" s="5"/>
      <c r="F181" s="5"/>
      <c r="G181" s="5"/>
    </row>
    <row r="182" spans="1:7">
      <c r="A182" s="5"/>
      <c r="B182" s="5"/>
      <c r="C182" s="5"/>
      <c r="D182" s="5"/>
      <c r="E182" s="5"/>
      <c r="F182" s="5"/>
      <c r="G18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404D-FD7A-4CD4-A433-3336E104AACB}">
  <dimension ref="A1:AE178"/>
  <sheetViews>
    <sheetView topLeftCell="A71" workbookViewId="0">
      <selection activeCell="B86" sqref="B86"/>
    </sheetView>
  </sheetViews>
  <sheetFormatPr defaultRowHeight="15"/>
  <cols>
    <col min="3" max="3" width="11" bestFit="1" customWidth="1"/>
    <col min="9" max="9" width="19" customWidth="1"/>
    <col min="10" max="10" width="10.28515625" customWidth="1"/>
    <col min="11" max="11" width="8.5703125" customWidth="1"/>
    <col min="12" max="12" width="9" customWidth="1"/>
    <col min="13" max="13" width="10.28515625" customWidth="1"/>
    <col min="14" max="14" width="8.5703125" customWidth="1"/>
    <col min="15" max="15" width="9" customWidth="1"/>
    <col min="16" max="16" width="2.7109375" customWidth="1"/>
    <col min="17" max="23" width="6.42578125" customWidth="1"/>
  </cols>
  <sheetData>
    <row r="1" spans="1:8" ht="15.75">
      <c r="A1" s="43">
        <v>110</v>
      </c>
      <c r="B1" s="7">
        <f ca="1">ROUND(0.1+0.11*POWER(RAND(),1.444444444),3)</f>
        <v>0.161</v>
      </c>
      <c r="C1" s="7">
        <f t="shared" ref="C1:C60" ca="1" si="0">ROUND(B1,2)</f>
        <v>0.16</v>
      </c>
      <c r="D1" s="7" t="str">
        <f ca="1">CONCATENATE(C1, "; ", C2, "; ", C3, "; ", 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0,2; 0,14; 0,16; 0,13; 0,14; 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1" s="36"/>
      <c r="F1" s="36"/>
      <c r="G1" s="36"/>
      <c r="H1" s="1"/>
    </row>
    <row r="2" spans="1:8" ht="15.75">
      <c r="A2">
        <v>109</v>
      </c>
      <c r="B2" s="7">
        <f t="shared" ref="B2:B65" ca="1" si="1">ROUND(0.1+0.11*POWER(RAND(),1.444444444),3)</f>
        <v>0.19800000000000001</v>
      </c>
      <c r="C2" s="7">
        <f t="shared" ca="1" si="0"/>
        <v>0.2</v>
      </c>
      <c r="D2" s="7" t="str">
        <f ca="1">CONCATENATE(C2, "; ", C3, "; ", 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C64)</f>
        <v>0,2; 0,14; 0,16; 0,13; 0,14; 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</v>
      </c>
      <c r="E2" s="36"/>
      <c r="F2" s="36"/>
      <c r="G2" s="36"/>
      <c r="H2" s="1"/>
    </row>
    <row r="3" spans="1:8" ht="15.75">
      <c r="A3" s="43">
        <v>108</v>
      </c>
      <c r="B3" s="7">
        <f t="shared" ca="1" si="1"/>
        <v>0.13600000000000001</v>
      </c>
      <c r="C3" s="7">
        <f t="shared" ca="1" si="0"/>
        <v>0.14000000000000001</v>
      </c>
      <c r="D3" s="7" t="str">
        <f ca="1">CONCATENATE(C3, "; ", 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0,16; 0,13; 0,14; 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3" s="36"/>
      <c r="F3" s="36"/>
      <c r="G3" s="36"/>
      <c r="H3" s="1"/>
    </row>
    <row r="4" spans="1:8" ht="15.75">
      <c r="A4">
        <v>107</v>
      </c>
      <c r="B4" s="7">
        <f t="shared" ca="1" si="1"/>
        <v>0.161</v>
      </c>
      <c r="C4" s="7">
        <f t="shared" ca="1" si="0"/>
        <v>0.16</v>
      </c>
      <c r="D4" s="7" t="str">
        <f ca="1">CONCATENATE(C4,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C66)</f>
        <v>0,16; 0,13; 0,14; 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</v>
      </c>
      <c r="E4" s="36"/>
      <c r="F4" s="36"/>
      <c r="G4" s="36"/>
      <c r="H4" s="1"/>
    </row>
    <row r="5" spans="1:8" ht="15.75">
      <c r="A5">
        <v>106</v>
      </c>
      <c r="B5" s="7">
        <f t="shared" ca="1" si="1"/>
        <v>0.126</v>
      </c>
      <c r="C5" s="7">
        <f t="shared" ca="1" si="0"/>
        <v>0.13</v>
      </c>
      <c r="D5" s="7" t="str">
        <f ca="1">CONCATENATE(C5,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C67)</f>
        <v>0,13; 0,14; 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</v>
      </c>
      <c r="E5" s="36"/>
      <c r="F5" s="36"/>
      <c r="G5" s="36"/>
      <c r="H5" s="1"/>
    </row>
    <row r="6" spans="1:8" ht="15.75">
      <c r="A6" s="43">
        <v>105</v>
      </c>
      <c r="B6" s="7">
        <f t="shared" ca="1" si="1"/>
        <v>0.13700000000000001</v>
      </c>
      <c r="C6" s="7">
        <f t="shared" ca="1" si="0"/>
        <v>0.14000000000000001</v>
      </c>
      <c r="D6" s="7" t="str">
        <f ca="1">CONCATENATE(C6,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6" s="36"/>
      <c r="F6" s="36"/>
      <c r="G6" s="36"/>
      <c r="H6" s="1"/>
    </row>
    <row r="7" spans="1:8" ht="15.75">
      <c r="A7">
        <v>104</v>
      </c>
      <c r="B7" s="7">
        <f t="shared" ca="1" si="1"/>
        <v>0.129</v>
      </c>
      <c r="C7" s="7">
        <f t="shared" ca="1" si="0"/>
        <v>0.13</v>
      </c>
      <c r="D7" s="7" t="str">
        <f ca="1">CONCATENATE(C7,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C69)</f>
        <v>0,13; 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</v>
      </c>
      <c r="E7" s="36"/>
      <c r="F7" s="36"/>
      <c r="G7" s="36"/>
      <c r="H7" s="1"/>
    </row>
    <row r="8" spans="1:8" ht="15.75">
      <c r="A8">
        <v>103</v>
      </c>
      <c r="B8" s="7">
        <f t="shared" ca="1" si="1"/>
        <v>0.115</v>
      </c>
      <c r="C8" s="7">
        <f t="shared" ca="1" si="0"/>
        <v>0.12</v>
      </c>
      <c r="D8" s="7" t="str">
        <f ca="1">CONCATENATE(C8,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C70)</f>
        <v>0,12; 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</v>
      </c>
      <c r="E8" s="36"/>
      <c r="F8" s="36"/>
      <c r="G8" s="36"/>
      <c r="H8" s="1"/>
    </row>
    <row r="9" spans="1:8" ht="15.75">
      <c r="A9">
        <v>102</v>
      </c>
      <c r="B9" s="7">
        <f t="shared" ca="1" si="1"/>
        <v>0.191</v>
      </c>
      <c r="C9" s="7">
        <f t="shared" ca="1" si="0"/>
        <v>0.19</v>
      </c>
      <c r="D9" s="7" t="str">
        <f ca="1">CONCATENATE(C9,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C71)</f>
        <v>0,19; 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</v>
      </c>
      <c r="E9" s="36"/>
      <c r="F9" s="36"/>
      <c r="G9" s="36"/>
      <c r="H9" s="1"/>
    </row>
    <row r="10" spans="1:8" ht="15.75">
      <c r="A10">
        <v>101</v>
      </c>
      <c r="B10" s="7">
        <f t="shared" ca="1" si="1"/>
        <v>0.11700000000000001</v>
      </c>
      <c r="C10" s="7">
        <f t="shared" ca="1" si="0"/>
        <v>0.12</v>
      </c>
      <c r="D10" s="7" t="str">
        <f ca="1">CONCATENATE(C10,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C72)</f>
        <v>0,12; 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</v>
      </c>
      <c r="E10" s="36"/>
      <c r="F10" s="36"/>
      <c r="G10" s="36"/>
      <c r="H10" s="1"/>
    </row>
    <row r="11" spans="1:8" ht="15.75">
      <c r="A11" s="43">
        <v>100</v>
      </c>
      <c r="B11" s="7">
        <f t="shared" ca="1" si="1"/>
        <v>0.187</v>
      </c>
      <c r="C11" s="7">
        <f t="shared" ca="1" si="0"/>
        <v>0.19</v>
      </c>
      <c r="D11" s="7" t="str">
        <f ca="1">CONCATENATE(C11,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0,19; 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11" s="36"/>
      <c r="F11" s="36"/>
      <c r="G11" s="36"/>
      <c r="H11" s="1"/>
    </row>
    <row r="12" spans="1:8" ht="15.75">
      <c r="A12">
        <v>99</v>
      </c>
      <c r="B12" s="7">
        <f t="shared" ca="1" si="1"/>
        <v>0.187</v>
      </c>
      <c r="C12" s="7">
        <f t="shared" ca="1" si="0"/>
        <v>0.19</v>
      </c>
      <c r="D12" s="7" t="str">
        <f ca="1">CONCATENATE(C12,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C74)</f>
        <v>0,19; 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</v>
      </c>
      <c r="E12" s="36"/>
      <c r="F12" s="36"/>
      <c r="G12" s="36"/>
      <c r="H12" s="1"/>
    </row>
    <row r="13" spans="1:8" ht="15.75">
      <c r="A13">
        <v>98</v>
      </c>
      <c r="B13" s="7">
        <f t="shared" ca="1" si="1"/>
        <v>0.11600000000000001</v>
      </c>
      <c r="C13" s="7">
        <f t="shared" ca="1" si="0"/>
        <v>0.12</v>
      </c>
      <c r="D13" s="7" t="str">
        <f ca="1">CONCATENATE(C13,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C75)</f>
        <v>0,12; 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</v>
      </c>
      <c r="E13" s="36"/>
      <c r="F13" s="36"/>
      <c r="G13" s="36"/>
      <c r="H13" s="1"/>
    </row>
    <row r="14" spans="1:8" ht="15.75">
      <c r="A14">
        <v>97</v>
      </c>
      <c r="B14" s="7">
        <f t="shared" ca="1" si="1"/>
        <v>0.186</v>
      </c>
      <c r="C14" s="7">
        <f t="shared" ca="1" si="0"/>
        <v>0.19</v>
      </c>
      <c r="D14" s="7" t="str">
        <f ca="1">CONCATENATE(C14,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C76)</f>
        <v>0,19; 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</v>
      </c>
      <c r="E14" s="36"/>
      <c r="F14" s="36"/>
      <c r="G14" s="36"/>
      <c r="H14" s="1"/>
    </row>
    <row r="15" spans="1:8" ht="15.75">
      <c r="A15">
        <v>96</v>
      </c>
      <c r="B15" s="7">
        <f t="shared" ca="1" si="1"/>
        <v>0.20300000000000001</v>
      </c>
      <c r="C15" s="7">
        <f t="shared" ca="1" si="0"/>
        <v>0.2</v>
      </c>
      <c r="D15" s="7" t="str">
        <f ca="1">CONCATENATE(C15,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C77)</f>
        <v>0,2; 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</v>
      </c>
      <c r="E15" s="36"/>
      <c r="F15" s="36"/>
      <c r="G15" s="36"/>
      <c r="H15" s="1"/>
    </row>
    <row r="16" spans="1:8" ht="15.75">
      <c r="A16" s="43">
        <v>95</v>
      </c>
      <c r="B16" s="7">
        <f t="shared" ca="1" si="1"/>
        <v>0.155</v>
      </c>
      <c r="C16" s="7">
        <f t="shared" ca="1" si="0"/>
        <v>0.16</v>
      </c>
      <c r="D16" s="7" t="str">
        <f ca="1">CONCATENATE(C16,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16" s="36"/>
      <c r="F16" s="36"/>
      <c r="G16" s="36"/>
      <c r="H16" s="1"/>
    </row>
    <row r="17" spans="1:8" ht="15.75">
      <c r="A17">
        <v>94</v>
      </c>
      <c r="B17" s="7">
        <f t="shared" ca="1" si="1"/>
        <v>0.18</v>
      </c>
      <c r="C17" s="7">
        <f t="shared" ca="1" si="0"/>
        <v>0.18</v>
      </c>
      <c r="D17" s="7" t="str">
        <f ca="1">CONCATENATE(C17,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C79)</f>
        <v>0,18; 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</v>
      </c>
      <c r="E17" s="36"/>
      <c r="F17" s="36"/>
      <c r="G17" s="36"/>
      <c r="H17" s="1"/>
    </row>
    <row r="18" spans="1:8" ht="15.75">
      <c r="A18">
        <v>93</v>
      </c>
      <c r="B18" s="7">
        <f t="shared" ca="1" si="1"/>
        <v>0.17499999999999999</v>
      </c>
      <c r="C18" s="7">
        <f t="shared" ca="1" si="0"/>
        <v>0.18</v>
      </c>
      <c r="D18" s="7" t="str">
        <f ca="1">CONCATENATE(C18,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C80)</f>
        <v>0,18; 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</v>
      </c>
      <c r="E18" s="36"/>
      <c r="F18" s="36"/>
      <c r="G18" s="36"/>
      <c r="H18" s="1"/>
    </row>
    <row r="19" spans="1:8" ht="15.75">
      <c r="A19">
        <v>92</v>
      </c>
      <c r="B19" s="7">
        <f t="shared" ca="1" si="1"/>
        <v>0.11799999999999999</v>
      </c>
      <c r="C19" s="7">
        <f t="shared" ca="1" si="0"/>
        <v>0.12</v>
      </c>
      <c r="D19" s="7" t="str">
        <f ca="1">CONCATENATE(C19,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C81)</f>
        <v>0,12; 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</v>
      </c>
      <c r="E19" s="36"/>
      <c r="F19" s="36"/>
      <c r="G19" s="36"/>
      <c r="H19" s="1"/>
    </row>
    <row r="20" spans="1:8" ht="15.75">
      <c r="A20">
        <v>91</v>
      </c>
      <c r="B20" s="7">
        <f t="shared" ca="1" si="1"/>
        <v>0.16900000000000001</v>
      </c>
      <c r="C20" s="7">
        <f t="shared" ca="1" si="0"/>
        <v>0.17</v>
      </c>
      <c r="D20" s="7" t="str">
        <f ca="1">CONCATENATE(C20,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C82)</f>
        <v>0,17; 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</v>
      </c>
      <c r="E20" s="36"/>
      <c r="F20" s="36"/>
      <c r="G20" s="36"/>
      <c r="H20" s="1"/>
    </row>
    <row r="21" spans="1:8" ht="15.75">
      <c r="A21" s="43">
        <v>90</v>
      </c>
      <c r="B21" s="7">
        <f t="shared" ca="1" si="1"/>
        <v>0.19600000000000001</v>
      </c>
      <c r="C21" s="7">
        <f t="shared" ca="1" si="0"/>
        <v>0.2</v>
      </c>
      <c r="D21" s="7" t="str">
        <f ca="1">CONCATENATE(C21,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0,2; 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21" s="36"/>
      <c r="F21" s="36"/>
      <c r="G21" s="36"/>
      <c r="H21" s="1"/>
    </row>
    <row r="22" spans="1:8" ht="15.75">
      <c r="A22">
        <v>89</v>
      </c>
      <c r="B22" s="7">
        <f t="shared" ca="1" si="1"/>
        <v>0.17899999999999999</v>
      </c>
      <c r="C22" s="7">
        <f t="shared" ca="1" si="0"/>
        <v>0.18</v>
      </c>
      <c r="D22" s="7" t="str">
        <f ca="1">CONCATENATE(C22,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C84)</f>
        <v>0,18; 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</v>
      </c>
      <c r="E22" s="36"/>
      <c r="F22" s="36"/>
      <c r="G22" s="36"/>
      <c r="H22" s="1"/>
    </row>
    <row r="23" spans="1:8" ht="15.75">
      <c r="A23">
        <v>88</v>
      </c>
      <c r="B23" s="7">
        <f t="shared" ca="1" si="1"/>
        <v>0.11700000000000001</v>
      </c>
      <c r="C23" s="7">
        <f t="shared" ca="1" si="0"/>
        <v>0.12</v>
      </c>
      <c r="D23" s="7" t="str">
        <f ca="1">CONCATENATE(C23,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C85)</f>
        <v>0,12; 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</v>
      </c>
      <c r="E23" s="36"/>
      <c r="F23" s="36"/>
      <c r="G23" s="36"/>
      <c r="H23" s="1"/>
    </row>
    <row r="24" spans="1:8" ht="15.75">
      <c r="A24">
        <v>87</v>
      </c>
      <c r="B24" s="7">
        <f t="shared" ca="1" si="1"/>
        <v>0.11799999999999999</v>
      </c>
      <c r="C24" s="7">
        <f t="shared" ca="1" si="0"/>
        <v>0.12</v>
      </c>
      <c r="D24" s="7" t="str">
        <f ca="1">CONCATENATE(C24,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C86)</f>
        <v>0,12; 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</v>
      </c>
      <c r="E24" s="36"/>
      <c r="F24" s="36"/>
      <c r="G24" s="36"/>
      <c r="H24" s="1"/>
    </row>
    <row r="25" spans="1:8" ht="15.75">
      <c r="A25">
        <v>86</v>
      </c>
      <c r="B25" s="7">
        <f t="shared" ca="1" si="1"/>
        <v>0.111</v>
      </c>
      <c r="C25" s="7">
        <f t="shared" ca="1" si="0"/>
        <v>0.11</v>
      </c>
      <c r="D25" s="7" t="str">
        <f ca="1">CONCATENATE(C25,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C87)</f>
        <v>0,11; 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</v>
      </c>
      <c r="E25" s="36"/>
      <c r="F25" s="36"/>
      <c r="G25" s="36"/>
      <c r="H25" s="1"/>
    </row>
    <row r="26" spans="1:8" ht="15.75">
      <c r="A26" s="43">
        <v>85</v>
      </c>
      <c r="B26" s="7">
        <f t="shared" ca="1" si="1"/>
        <v>0.14199999999999999</v>
      </c>
      <c r="C26" s="7">
        <f t="shared" ca="1" si="0"/>
        <v>0.14000000000000001</v>
      </c>
      <c r="D26" s="7" t="str">
        <f ca="1">CONCATENATE(C26,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26" s="36"/>
      <c r="F26" s="36"/>
      <c r="G26" s="36"/>
      <c r="H26" s="1"/>
    </row>
    <row r="27" spans="1:8" ht="15.75">
      <c r="A27">
        <v>84</v>
      </c>
      <c r="B27" s="7">
        <f t="shared" ca="1" si="1"/>
        <v>0.105</v>
      </c>
      <c r="C27" s="7">
        <f t="shared" ca="1" si="0"/>
        <v>0.11</v>
      </c>
      <c r="D27" s="7" t="str">
        <f ca="1">CONCATENATE(C27,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C89)</f>
        <v>0,11; 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</v>
      </c>
      <c r="E27" s="36"/>
      <c r="F27" s="36"/>
      <c r="G27" s="36"/>
      <c r="H27" s="1"/>
    </row>
    <row r="28" spans="1:8" ht="15.75">
      <c r="A28">
        <v>83</v>
      </c>
      <c r="B28" s="7">
        <f t="shared" ca="1" si="1"/>
        <v>0.13300000000000001</v>
      </c>
      <c r="C28" s="7">
        <f t="shared" ca="1" si="0"/>
        <v>0.13</v>
      </c>
      <c r="D28" s="7" t="str">
        <f ca="1">CONCATENATE(C28,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C90)</f>
        <v>0,13; 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</v>
      </c>
      <c r="E28" s="36"/>
      <c r="F28" s="36"/>
      <c r="G28" s="36"/>
      <c r="H28" s="1"/>
    </row>
    <row r="29" spans="1:8" ht="15.75">
      <c r="A29">
        <v>82</v>
      </c>
      <c r="B29" s="7">
        <f t="shared" ca="1" si="1"/>
        <v>0.114</v>
      </c>
      <c r="C29" s="7">
        <f t="shared" ca="1" si="0"/>
        <v>0.11</v>
      </c>
      <c r="D29" s="7" t="str">
        <f ca="1">CONCATENATE(C29,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C91)</f>
        <v>0,11; 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</v>
      </c>
      <c r="E29" s="36"/>
      <c r="F29" s="36"/>
      <c r="G29" s="36"/>
      <c r="H29" s="1"/>
    </row>
    <row r="30" spans="1:8" ht="15.75">
      <c r="A30">
        <v>81</v>
      </c>
      <c r="B30" s="7">
        <f t="shared" ca="1" si="1"/>
        <v>0.16500000000000001</v>
      </c>
      <c r="C30" s="7">
        <f t="shared" ca="1" si="0"/>
        <v>0.17</v>
      </c>
      <c r="D30" s="7" t="str">
        <f ca="1">CONCATENATE(C30,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C92)</f>
        <v>0,17; 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</v>
      </c>
      <c r="E30" s="36"/>
      <c r="F30" s="36"/>
      <c r="G30" s="36"/>
      <c r="H30" s="1"/>
    </row>
    <row r="31" spans="1:8" ht="15.75">
      <c r="A31" s="43">
        <v>80</v>
      </c>
      <c r="B31" s="7">
        <f t="shared" ca="1" si="1"/>
        <v>0.17299999999999999</v>
      </c>
      <c r="C31" s="7">
        <f t="shared" ca="1" si="0"/>
        <v>0.17</v>
      </c>
      <c r="D31" s="7" t="str">
        <f ca="1">CONCATENATE(C31,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0,17; 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31" s="36"/>
      <c r="F31" s="36"/>
      <c r="G31" s="36"/>
      <c r="H31" s="1"/>
    </row>
    <row r="32" spans="1:8" ht="15.75">
      <c r="A32">
        <v>79</v>
      </c>
      <c r="B32" s="7">
        <f t="shared" ca="1" si="1"/>
        <v>0.14099999999999999</v>
      </c>
      <c r="C32" s="7">
        <f t="shared" ca="1" si="0"/>
        <v>0.14000000000000001</v>
      </c>
      <c r="D32" s="7" t="str">
        <f ca="1">CONCATENATE(C32,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C94)</f>
        <v>0,14; 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</v>
      </c>
      <c r="E32" s="36"/>
      <c r="F32" s="36"/>
      <c r="G32" s="36"/>
      <c r="H32" s="1"/>
    </row>
    <row r="33" spans="1:8" ht="15.75">
      <c r="A33">
        <v>78</v>
      </c>
      <c r="B33" s="7">
        <f t="shared" ca="1" si="1"/>
        <v>0.14899999999999999</v>
      </c>
      <c r="C33" s="7">
        <f t="shared" ca="1" si="0"/>
        <v>0.15</v>
      </c>
      <c r="D33" s="7" t="str">
        <f ca="1">CONCATENATE(C33,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C95)</f>
        <v>0,15; 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</v>
      </c>
      <c r="E33" s="36"/>
      <c r="F33" s="36"/>
      <c r="G33" s="36"/>
      <c r="H33" s="1"/>
    </row>
    <row r="34" spans="1:8" ht="15.75">
      <c r="A34">
        <v>77</v>
      </c>
      <c r="B34" s="7">
        <f t="shared" ca="1" si="1"/>
        <v>0.17299999999999999</v>
      </c>
      <c r="C34" s="7">
        <f t="shared" ca="1" si="0"/>
        <v>0.17</v>
      </c>
      <c r="D34" s="7" t="str">
        <f ca="1">CONCATENATE(C34,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C96)</f>
        <v>0,17; 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</v>
      </c>
      <c r="E34" s="36"/>
      <c r="F34" s="36"/>
      <c r="G34" s="36"/>
      <c r="H34" s="1"/>
    </row>
    <row r="35" spans="1:8" ht="15.75">
      <c r="A35">
        <v>76</v>
      </c>
      <c r="B35" s="7">
        <f t="shared" ca="1" si="1"/>
        <v>0.11899999999999999</v>
      </c>
      <c r="C35" s="7">
        <f t="shared" ca="1" si="0"/>
        <v>0.12</v>
      </c>
      <c r="D35" s="7" t="str">
        <f ca="1">CONCATENATE(C35,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C97)</f>
        <v>0,12; 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</v>
      </c>
      <c r="E35" s="36"/>
      <c r="F35" s="36"/>
      <c r="G35" s="36"/>
      <c r="H35" s="1"/>
    </row>
    <row r="36" spans="1:8" ht="15.75">
      <c r="A36" s="43">
        <v>75</v>
      </c>
      <c r="B36" s="7">
        <f t="shared" ca="1" si="1"/>
        <v>0.17100000000000001</v>
      </c>
      <c r="C36" s="7">
        <f t="shared" ca="1" si="0"/>
        <v>0.17</v>
      </c>
      <c r="D36" s="7" t="str">
        <f ca="1">CONCATENATE(C36,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0,17; 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36" s="36"/>
      <c r="F36" s="36"/>
      <c r="G36" s="36"/>
      <c r="H36" s="1"/>
    </row>
    <row r="37" spans="1:8" ht="15.75">
      <c r="A37">
        <v>74</v>
      </c>
      <c r="B37" s="7">
        <f t="shared" ca="1" si="1"/>
        <v>0.111</v>
      </c>
      <c r="C37" s="7">
        <f t="shared" ca="1" si="0"/>
        <v>0.11</v>
      </c>
      <c r="D37" s="7" t="str">
        <f ca="1">CONCATENATE(C37,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C99)</f>
        <v>0,11; 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</v>
      </c>
      <c r="E37" s="36"/>
      <c r="F37" s="36"/>
      <c r="G37" s="36"/>
      <c r="H37" s="1"/>
    </row>
    <row r="38" spans="1:8" ht="15.75">
      <c r="A38">
        <v>73</v>
      </c>
      <c r="B38" s="7">
        <f t="shared" ca="1" si="1"/>
        <v>0.191</v>
      </c>
      <c r="C38" s="7">
        <f t="shared" ca="1" si="0"/>
        <v>0.19</v>
      </c>
      <c r="D38" s="7" t="str">
        <f ca="1">CONCATENATE(C38,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C100)</f>
        <v>0,19; 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</v>
      </c>
      <c r="E38" s="36"/>
      <c r="F38" s="36"/>
      <c r="G38" s="36"/>
      <c r="H38" s="1"/>
    </row>
    <row r="39" spans="1:8" ht="15.75">
      <c r="A39">
        <v>72</v>
      </c>
      <c r="B39" s="7">
        <f t="shared" ca="1" si="1"/>
        <v>0.13400000000000001</v>
      </c>
      <c r="C39" s="7">
        <f t="shared" ca="1" si="0"/>
        <v>0.13</v>
      </c>
      <c r="D39" s="7" t="str">
        <f ca="1">CONCATENATE(C39,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C101)</f>
        <v>0,13; 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</v>
      </c>
      <c r="E39" s="36"/>
      <c r="F39" s="36"/>
      <c r="G39" s="36"/>
      <c r="H39" s="1"/>
    </row>
    <row r="40" spans="1:8" ht="15.75">
      <c r="A40">
        <v>71</v>
      </c>
      <c r="B40" s="7">
        <f t="shared" ca="1" si="1"/>
        <v>0.115</v>
      </c>
      <c r="C40" s="7">
        <f t="shared" ca="1" si="0"/>
        <v>0.12</v>
      </c>
      <c r="D40" s="7" t="str">
        <f ca="1">CONCATENATE(C40,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C102)</f>
        <v>0,12; 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</v>
      </c>
      <c r="E40" s="36"/>
      <c r="F40" s="36"/>
      <c r="G40" s="36"/>
      <c r="H40" s="1"/>
    </row>
    <row r="41" spans="1:8" ht="15.75">
      <c r="A41" s="43">
        <v>70</v>
      </c>
      <c r="B41" s="7">
        <f t="shared" ca="1" si="1"/>
        <v>0.10100000000000001</v>
      </c>
      <c r="C41" s="7">
        <f t="shared" ca="1" si="0"/>
        <v>0.1</v>
      </c>
      <c r="D41" s="7" t="str">
        <f ca="1">CONCATENATE(C41,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0,1; 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41" s="36"/>
      <c r="F41" s="36"/>
      <c r="G41" s="36"/>
      <c r="H41" s="1"/>
    </row>
    <row r="42" spans="1:8" ht="15.75">
      <c r="A42">
        <v>69</v>
      </c>
      <c r="B42" s="7">
        <f t="shared" ca="1" si="1"/>
        <v>0.16</v>
      </c>
      <c r="C42" s="7">
        <f t="shared" ca="1" si="0"/>
        <v>0.16</v>
      </c>
      <c r="D42" s="7" t="str">
        <f ca="1">CONCATENATE(C42,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C104)</f>
        <v>0,16; 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</v>
      </c>
      <c r="E42" s="36"/>
      <c r="F42" s="36"/>
      <c r="G42" s="36"/>
      <c r="H42" s="1"/>
    </row>
    <row r="43" spans="1:8" ht="15.75">
      <c r="A43">
        <v>68</v>
      </c>
      <c r="B43" s="7">
        <f t="shared" ca="1" si="1"/>
        <v>0.14199999999999999</v>
      </c>
      <c r="C43" s="7">
        <f t="shared" ca="1" si="0"/>
        <v>0.14000000000000001</v>
      </c>
      <c r="D43" s="7" t="str">
        <f ca="1">CONCATENATE(C43,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C105)</f>
        <v>0,14; 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</v>
      </c>
      <c r="E43" s="36"/>
      <c r="F43" s="36"/>
      <c r="G43" s="36"/>
      <c r="H43" s="1"/>
    </row>
    <row r="44" spans="1:8" ht="15.75">
      <c r="A44" s="43">
        <v>67</v>
      </c>
      <c r="B44" s="7">
        <f t="shared" ca="1" si="1"/>
        <v>0.11899999999999999</v>
      </c>
      <c r="C44" s="7">
        <f t="shared" ca="1" si="0"/>
        <v>0.12</v>
      </c>
      <c r="D44" s="7" t="str">
        <f ca="1">CONCATENATE(C44,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44" s="36"/>
      <c r="F44" s="36"/>
      <c r="G44" s="36"/>
      <c r="H44" s="1"/>
    </row>
    <row r="45" spans="1:8" ht="15.75">
      <c r="A45">
        <v>66</v>
      </c>
      <c r="B45" s="7">
        <f t="shared" ca="1" si="1"/>
        <v>0.155</v>
      </c>
      <c r="C45" s="7">
        <f t="shared" ca="1" si="0"/>
        <v>0.16</v>
      </c>
      <c r="D45" s="7" t="str">
        <f ca="1">CONCATENATE(C45,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C107)</f>
        <v>0,16; 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</v>
      </c>
      <c r="E45" s="36"/>
      <c r="F45" s="36"/>
      <c r="G45" s="36"/>
      <c r="H45" s="1"/>
    </row>
    <row r="46" spans="1:8" ht="15.75">
      <c r="A46">
        <v>65</v>
      </c>
      <c r="B46" s="7">
        <f t="shared" ca="1" si="1"/>
        <v>0.16500000000000001</v>
      </c>
      <c r="C46" s="7">
        <f t="shared" ca="1" si="0"/>
        <v>0.17</v>
      </c>
      <c r="D46" s="7" t="str">
        <f ca="1">CONCATENATE(C46,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C108)</f>
        <v>0,17; 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</v>
      </c>
      <c r="E46" s="36"/>
      <c r="F46" s="36"/>
      <c r="G46" s="36"/>
      <c r="H46" s="1"/>
    </row>
    <row r="47" spans="1:8" ht="15.75">
      <c r="A47">
        <v>64</v>
      </c>
      <c r="B47" s="7">
        <f t="shared" ca="1" si="1"/>
        <v>0.14099999999999999</v>
      </c>
      <c r="C47" s="7">
        <f t="shared" ca="1" si="0"/>
        <v>0.14000000000000001</v>
      </c>
      <c r="D47" s="7" t="str">
        <f ca="1">CONCATENATE(C47,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C109)</f>
        <v>0,14; 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</v>
      </c>
      <c r="E47" s="36"/>
      <c r="F47" s="36"/>
      <c r="G47" s="36"/>
      <c r="H47" s="1"/>
    </row>
    <row r="48" spans="1:8" ht="15.75">
      <c r="A48">
        <v>63</v>
      </c>
      <c r="B48" s="7">
        <f t="shared" ca="1" si="1"/>
        <v>0.155</v>
      </c>
      <c r="C48" s="7">
        <f t="shared" ca="1" si="0"/>
        <v>0.16</v>
      </c>
      <c r="D48" s="7" t="str">
        <f ca="1">CONCATENATE(C48,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48" s="36"/>
      <c r="F48" s="36"/>
      <c r="G48" s="36"/>
      <c r="H48" s="1"/>
    </row>
    <row r="49" spans="1:23" ht="15.75">
      <c r="A49">
        <v>62</v>
      </c>
      <c r="B49" s="7">
        <f t="shared" ca="1" si="1"/>
        <v>0.2</v>
      </c>
      <c r="C49" s="7">
        <f t="shared" ca="1" si="0"/>
        <v>0.2</v>
      </c>
      <c r="D49" s="7" t="str">
        <f ca="1">CONCATENATE(C49,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0,2; 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49" s="38"/>
      <c r="F49" s="38"/>
      <c r="G49" s="38"/>
      <c r="H49" s="39"/>
    </row>
    <row r="50" spans="1:23" ht="15.75">
      <c r="A50">
        <v>61</v>
      </c>
      <c r="B50" s="7">
        <f t="shared" ca="1" si="1"/>
        <v>0.17699999999999999</v>
      </c>
      <c r="C50" s="7">
        <f t="shared" ca="1" si="0"/>
        <v>0.18</v>
      </c>
      <c r="D50" s="7" t="str">
        <f ca="1">CONCATENATE(C50,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0,18; 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0" s="37"/>
      <c r="F50" s="37"/>
      <c r="G50" s="37"/>
      <c r="H50" s="39"/>
    </row>
    <row r="51" spans="1:23">
      <c r="A51">
        <v>60</v>
      </c>
      <c r="B51" s="7">
        <f t="shared" ca="1" si="1"/>
        <v>0.154</v>
      </c>
      <c r="C51" s="7">
        <f t="shared" ca="1" si="0"/>
        <v>0.15</v>
      </c>
      <c r="D51" s="7" t="str">
        <f ca="1">CONCATENATE(C51,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0,15; 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1" s="7"/>
      <c r="F51" s="7"/>
      <c r="G51" s="7"/>
      <c r="H51" s="7"/>
    </row>
    <row r="52" spans="1:23">
      <c r="A52">
        <v>59</v>
      </c>
      <c r="B52" s="7">
        <f t="shared" ca="1" si="1"/>
        <v>0.112</v>
      </c>
      <c r="C52" s="7">
        <f t="shared" ca="1" si="0"/>
        <v>0.11</v>
      </c>
      <c r="D52" s="7" t="str">
        <f ca="1">CONCATENATE(C52,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0,11; 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2" s="7"/>
      <c r="F52" s="7"/>
      <c r="G52" s="7"/>
      <c r="H52" s="7"/>
    </row>
    <row r="53" spans="1:23" ht="15.75">
      <c r="A53">
        <v>58</v>
      </c>
      <c r="B53" s="7">
        <f t="shared" ca="1" si="1"/>
        <v>0.121</v>
      </c>
      <c r="C53" s="7">
        <f t="shared" ca="1" si="0"/>
        <v>0.12</v>
      </c>
      <c r="D53" s="7" t="str">
        <f ca="1">CONCATENATE(C53,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3" s="40"/>
      <c r="F53" s="40"/>
      <c r="G53" s="40"/>
      <c r="H53" s="40"/>
    </row>
    <row r="54" spans="1:23">
      <c r="A54">
        <v>57</v>
      </c>
      <c r="B54" s="7">
        <f t="shared" ca="1" si="1"/>
        <v>0.17799999999999999</v>
      </c>
      <c r="C54" s="7">
        <f t="shared" ca="1" si="0"/>
        <v>0.18</v>
      </c>
      <c r="D54" s="7" t="str">
        <f ca="1">CONCATENATE(C54,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0,18; 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4" s="7"/>
      <c r="F54" s="7"/>
      <c r="G54" s="7"/>
      <c r="H54" s="7"/>
      <c r="I54" s="5"/>
      <c r="J54" s="7"/>
      <c r="K54" s="7"/>
      <c r="L54" s="7"/>
      <c r="M54" s="7"/>
      <c r="N54" s="7"/>
      <c r="O54" s="7"/>
      <c r="P54" s="5"/>
      <c r="Q54" s="5"/>
      <c r="R54" s="5"/>
      <c r="S54" s="5"/>
      <c r="T54" s="5"/>
      <c r="U54" s="5"/>
      <c r="V54" s="5"/>
      <c r="W54" s="5"/>
    </row>
    <row r="55" spans="1:23">
      <c r="A55">
        <v>56</v>
      </c>
      <c r="B55" s="7">
        <f t="shared" ca="1" si="1"/>
        <v>0.11700000000000001</v>
      </c>
      <c r="C55" s="7">
        <f t="shared" ca="1" si="0"/>
        <v>0.12</v>
      </c>
      <c r="D55" s="7" t="str">
        <f ca="1">CONCATENATE(C55,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5" s="7"/>
      <c r="F55" s="7"/>
      <c r="G55" s="7"/>
      <c r="H55" s="7"/>
      <c r="J55" s="7"/>
      <c r="K55" s="7"/>
      <c r="L55" s="7"/>
      <c r="M55" s="7"/>
      <c r="N55" s="7"/>
      <c r="O55" s="7"/>
      <c r="P55" s="5"/>
      <c r="Q55" s="5"/>
      <c r="R55" s="5"/>
      <c r="S55" s="5"/>
      <c r="T55" s="5"/>
      <c r="U55" s="5"/>
      <c r="V55" s="5"/>
      <c r="W55" s="5"/>
    </row>
    <row r="56" spans="1:23">
      <c r="A56">
        <v>55</v>
      </c>
      <c r="B56" s="7">
        <f t="shared" ca="1" si="1"/>
        <v>0.123</v>
      </c>
      <c r="C56" s="7">
        <f t="shared" ca="1" si="0"/>
        <v>0.12</v>
      </c>
      <c r="D56" s="7" t="str">
        <f ca="1">CONCATENATE(C56,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6" s="7"/>
      <c r="F56" s="7"/>
      <c r="G56" s="7"/>
      <c r="H56" s="7"/>
      <c r="I56" s="5"/>
      <c r="J56" s="7"/>
      <c r="K56" s="7"/>
      <c r="L56" s="7"/>
      <c r="M56" s="7"/>
      <c r="N56" s="7"/>
      <c r="O56" s="7"/>
      <c r="P56" s="5"/>
      <c r="Q56" s="5"/>
      <c r="R56" s="5"/>
      <c r="S56" s="5"/>
      <c r="T56" s="5"/>
      <c r="U56" s="5"/>
      <c r="V56" s="5"/>
      <c r="W56" s="5"/>
    </row>
    <row r="57" spans="1:23">
      <c r="A57">
        <v>54</v>
      </c>
      <c r="B57" s="7">
        <f t="shared" ca="1" si="1"/>
        <v>0.156</v>
      </c>
      <c r="C57" s="7">
        <f t="shared" ca="1" si="0"/>
        <v>0.16</v>
      </c>
      <c r="D57" s="7" t="str">
        <f ca="1">CONCATENATE(C57,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7" s="7"/>
      <c r="F57" s="7"/>
      <c r="G57" s="7"/>
      <c r="H57" s="7"/>
      <c r="J57" s="7"/>
      <c r="K57" s="7"/>
      <c r="L57" s="7"/>
      <c r="M57" s="7"/>
      <c r="N57" s="7"/>
      <c r="O57" s="7"/>
      <c r="P57" s="5"/>
      <c r="Q57" s="5"/>
      <c r="R57" s="5"/>
      <c r="S57" s="5"/>
      <c r="T57" s="5"/>
      <c r="U57" s="5"/>
      <c r="V57" s="5"/>
      <c r="W57" s="5"/>
    </row>
    <row r="58" spans="1:23">
      <c r="A58">
        <v>53</v>
      </c>
      <c r="B58" s="7">
        <f t="shared" ca="1" si="1"/>
        <v>0.14199999999999999</v>
      </c>
      <c r="C58" s="7">
        <f t="shared" ca="1" si="0"/>
        <v>0.14000000000000001</v>
      </c>
      <c r="D58" s="7" t="str">
        <f ca="1">CONCATENATE(C58,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8" s="7"/>
      <c r="F58" s="7"/>
      <c r="G58" s="7"/>
      <c r="H58" s="7"/>
      <c r="I58" s="5"/>
      <c r="J58" s="7"/>
      <c r="K58" s="7"/>
      <c r="L58" s="7"/>
      <c r="M58" s="7"/>
      <c r="N58" s="7"/>
      <c r="O58" s="7"/>
      <c r="P58" s="5"/>
      <c r="Q58" s="5"/>
      <c r="R58" s="5"/>
      <c r="S58" s="5"/>
      <c r="T58" s="5"/>
      <c r="U58" s="5"/>
      <c r="V58" s="5"/>
      <c r="W58" s="5"/>
    </row>
    <row r="59" spans="1:23">
      <c r="A59">
        <v>52</v>
      </c>
      <c r="B59" s="7">
        <f t="shared" ca="1" si="1"/>
        <v>0.18</v>
      </c>
      <c r="C59" s="7">
        <f t="shared" ca="1" si="0"/>
        <v>0.18</v>
      </c>
      <c r="D59" s="7" t="str">
        <f ca="1">CONCATENATE(C59,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0,18; 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59" s="7"/>
      <c r="F59" s="7"/>
      <c r="G59" s="7"/>
      <c r="H59" s="7"/>
      <c r="J59" s="7"/>
      <c r="K59" s="7"/>
      <c r="L59" s="7"/>
      <c r="M59" s="7"/>
      <c r="N59" s="7"/>
      <c r="O59" s="7"/>
      <c r="P59" s="5"/>
      <c r="Q59" s="5"/>
      <c r="R59" s="5"/>
      <c r="S59" s="5"/>
      <c r="T59" s="5"/>
      <c r="U59" s="5"/>
      <c r="V59" s="5"/>
      <c r="W59" s="5"/>
    </row>
    <row r="60" spans="1:23">
      <c r="A60">
        <v>51</v>
      </c>
      <c r="B60" s="7">
        <f t="shared" ca="1" si="1"/>
        <v>0.13100000000000001</v>
      </c>
      <c r="C60" s="7">
        <f t="shared" ca="1" si="0"/>
        <v>0.13</v>
      </c>
      <c r="D60" s="7" t="str">
        <f ca="1">CONCATENATE(C60,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0,13; 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60" s="7"/>
      <c r="F60" s="7"/>
      <c r="G60" s="7"/>
      <c r="H60" s="7"/>
      <c r="I60" s="5"/>
      <c r="J60" s="7"/>
      <c r="K60" s="7"/>
      <c r="L60" s="7"/>
      <c r="M60" s="7"/>
      <c r="N60" s="7"/>
      <c r="O60" s="7"/>
      <c r="P60" s="5"/>
      <c r="Q60" s="5"/>
      <c r="R60" s="5"/>
      <c r="S60" s="5"/>
      <c r="T60" s="5"/>
      <c r="U60" s="5"/>
      <c r="V60" s="5"/>
      <c r="W60" s="5"/>
    </row>
    <row r="61" spans="1:23" ht="15.75">
      <c r="A61">
        <v>50</v>
      </c>
      <c r="B61" s="7">
        <f t="shared" ca="1" si="1"/>
        <v>0.1</v>
      </c>
      <c r="C61" s="7">
        <f ca="1">ROUND(B61,2)</f>
        <v>0.1</v>
      </c>
      <c r="D61" s="7" t="str">
        <f ca="1">CONCATENATE(C61,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0,1; 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61" s="36"/>
      <c r="F61" s="36"/>
      <c r="G61" s="36"/>
      <c r="H61" s="1"/>
    </row>
    <row r="62" spans="1:23" ht="15.75">
      <c r="A62">
        <v>49</v>
      </c>
      <c r="B62" s="7">
        <f t="shared" ca="1" si="1"/>
        <v>0.13300000000000001</v>
      </c>
      <c r="C62" s="7">
        <f t="shared" ref="C62:C110" ca="1" si="2">ROUND(B62,2)</f>
        <v>0.13</v>
      </c>
      <c r="D62" s="7" t="str">
        <f ca="1">CONCATENATE(C62,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C111)</f>
        <v xml:space="preserve">0,13; 0,15; 0,12; 0,13; 0,16; 0,17; 0,13; 0,13; 0,13; 0,1; 0,1; 0,18; 0,11; 0,2; 0,11; 0,17; 0,18; 0,11; 0,18; 0,12; 0,12; 0,13; 0,12; 0,15; 0,13; 0,1; 0,1; 0,12; 0,1; 0,18; 0,18; 0,13; 0,13; 0,2; 0,12; 0,2; 0,12; 0,12; 0,11; 0,12; 0,1; 0,16; 0,12; 0,2; 0,2; 0,14; 0,13; 0,11; 0,1; </v>
      </c>
      <c r="E62" s="38"/>
      <c r="F62" s="38"/>
      <c r="G62" s="38"/>
      <c r="H62" s="39"/>
    </row>
    <row r="63" spans="1:23" ht="15.75">
      <c r="A63">
        <v>48</v>
      </c>
      <c r="B63" s="7">
        <f t="shared" ca="1" si="1"/>
        <v>0.151</v>
      </c>
      <c r="C63" s="7">
        <f t="shared" ca="1" si="2"/>
        <v>0.15</v>
      </c>
      <c r="D63" s="7" t="str">
        <f t="shared" ref="D63:D80" ca="1" si="3">CONCATENATE(C63,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C112)</f>
        <v xml:space="preserve">0,15; 0,12; 0,13; 0,16; 0,17; 0,13; 0,13; 0,13; 0,1; 0,1; 0,18; 0,11; 0,2; 0,11; 0,17; 0,18; 0,11; 0,18; 0,12; 0,12; 0,13; 0,12; 0,15; 0,13; 0,1; 0,1; 0,12; 0,1; 0,18; 0,18; 0,13; 0,13; 0,2; 0,12; 0,2; 0,12; 0,12; 0,11; 0,12; 0,1; 0,16; 0,12; 0,2; 0,2; 0,14; 0,13; 0,11; 0,1; ; </v>
      </c>
      <c r="E63" s="37"/>
      <c r="F63" s="37"/>
      <c r="G63" s="37"/>
      <c r="H63" s="39"/>
    </row>
    <row r="64" spans="1:23">
      <c r="A64">
        <v>47</v>
      </c>
      <c r="B64" s="7">
        <f t="shared" ca="1" si="1"/>
        <v>0.121</v>
      </c>
      <c r="C64" s="7">
        <f t="shared" ca="1" si="2"/>
        <v>0.12</v>
      </c>
      <c r="D64" s="7" t="str">
        <f t="shared" ca="1" si="3"/>
        <v xml:space="preserve">0,12; 0,13; 0,16; 0,17; 0,13; 0,13; 0,13; 0,1; 0,1; 0,18; 0,11; 0,2; 0,11; 0,17; 0,18; 0,11; 0,18; 0,12; 0,12; 0,13; 0,12; 0,15; 0,13; 0,1; 0,1; 0,12; 0,1; 0,18; 0,18; 0,13; 0,13; 0,2; 0,12; 0,2; 0,12; 0,12; 0,11; 0,12; 0,1; 0,16; 0,12; 0,2; 0,2; 0,14; 0,13; 0,11; 0,1; ; ; </v>
      </c>
      <c r="E64" s="7"/>
      <c r="F64" s="7"/>
      <c r="G64" s="7"/>
      <c r="H64" s="7"/>
    </row>
    <row r="65" spans="1:31">
      <c r="A65">
        <v>46</v>
      </c>
      <c r="B65" s="7">
        <f t="shared" ca="1" si="1"/>
        <v>0.13400000000000001</v>
      </c>
      <c r="C65" s="7">
        <f t="shared" ca="1" si="2"/>
        <v>0.13</v>
      </c>
      <c r="D65" s="7" t="str">
        <f ca="1">CONCATENATE(C65,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0,13; 0,16; 0,17; 0,13; 0,13; 0,13; 0,1; 0,1; 0,18; 0,11; 0,2; 0,11; 0,17; 0,18; 0,11; 0,18; 0,12; 0,12; 0,13; 0,12; 0,15; 0,13; 0,1; 0,1; 0,12; 0,1; 0,18; 0,18; 0,13; 0,13; 0,2; 0,12; 0,2; 0,12; 0,12; 0,11; 0,12; 0,1; 0,16; 0,12; 0,2; 0,2; 0,14; 0,13; 0,11; 0,1</v>
      </c>
      <c r="E65" s="7"/>
      <c r="F65" s="7"/>
      <c r="G65" s="7"/>
      <c r="H65" s="7"/>
    </row>
    <row r="66" spans="1:31" ht="15.75">
      <c r="A66">
        <v>45</v>
      </c>
      <c r="B66" s="7">
        <f t="shared" ref="B66:B110" ca="1" si="4">ROUND(0.1+0.11*POWER(RAND(),1.444444444),3)</f>
        <v>0.158</v>
      </c>
      <c r="C66" s="7">
        <f t="shared" ca="1" si="2"/>
        <v>0.16</v>
      </c>
      <c r="D66" s="7" t="str">
        <f t="shared" ca="1" si="3"/>
        <v xml:space="preserve">0,16; 0,17; 0,13; 0,13; 0,13; 0,1; 0,1; 0,18; 0,11; 0,2; 0,11; 0,17; 0,18; 0,11; 0,18; 0,12; 0,12; 0,13; 0,12; 0,15; 0,13; 0,1; 0,1; 0,12; 0,1; 0,18; 0,18; 0,13; 0,13; 0,2; 0,12; 0,2; 0,12; 0,12; 0,11; 0,12; 0,1; 0,16; 0,12; 0,2; 0,2; 0,14; 0,13; 0,11; 0,1; ; ; ; ; </v>
      </c>
      <c r="E66" s="40"/>
      <c r="F66" s="40"/>
      <c r="G66" s="40"/>
      <c r="H66" s="40"/>
    </row>
    <row r="67" spans="1:31">
      <c r="A67">
        <v>44</v>
      </c>
      <c r="B67" s="7">
        <f t="shared" ca="1" si="4"/>
        <v>0.16600000000000001</v>
      </c>
      <c r="C67" s="7">
        <f t="shared" ca="1" si="2"/>
        <v>0.17</v>
      </c>
      <c r="D67" s="7" t="str">
        <f t="shared" ca="1" si="3"/>
        <v xml:space="preserve">0,17; 0,13; 0,13; 0,13; 0,1; 0,1; 0,18; 0,11; 0,2; 0,11; 0,17; 0,18; 0,11; 0,18; 0,12; 0,12; 0,13; 0,12; 0,15; 0,13; 0,1; 0,1; 0,12; 0,1; 0,18; 0,18; 0,13; 0,13; 0,2; 0,12; 0,2; 0,12; 0,12; 0,11; 0,12; 0,1; 0,16; 0,12; 0,2; 0,2; 0,14; 0,13; 0,11; 0,1; ; ; ; ; ; </v>
      </c>
      <c r="E67" s="7"/>
      <c r="F67" s="7"/>
      <c r="G67" s="7"/>
      <c r="H67" s="7"/>
      <c r="I67" s="5"/>
      <c r="J67" s="7"/>
      <c r="K67" s="7"/>
      <c r="L67" s="7"/>
      <c r="M67" s="7"/>
      <c r="N67" s="7"/>
      <c r="O67" s="7"/>
      <c r="P67" s="5"/>
      <c r="Q67" s="5"/>
      <c r="R67" s="5"/>
      <c r="S67" s="5"/>
      <c r="T67" s="5"/>
      <c r="U67" s="5"/>
      <c r="V67" s="5"/>
      <c r="W67" s="5"/>
    </row>
    <row r="68" spans="1:31">
      <c r="A68">
        <v>43</v>
      </c>
      <c r="B68" s="7">
        <f t="shared" ca="1" si="4"/>
        <v>0.13</v>
      </c>
      <c r="C68" s="7">
        <f t="shared" ca="1" si="2"/>
        <v>0.13</v>
      </c>
      <c r="D68" s="7" t="str">
        <f t="shared" ca="1" si="3"/>
        <v xml:space="preserve">0,13; 0,13; 0,13; 0,1; 0,1; 0,18; 0,11; 0,2; 0,11; 0,17; 0,18; 0,11; 0,18; 0,12; 0,12; 0,13; 0,12; 0,15; 0,13; 0,1; 0,1; 0,12; 0,1; 0,18; 0,18; 0,13; 0,13; 0,2; 0,12; 0,2; 0,12; 0,12; 0,11; 0,12; 0,1; 0,16; 0,12; 0,2; 0,2; 0,14; 0,13; 0,11; 0,1; ; ; ; ; ; ; </v>
      </c>
      <c r="E68" s="7"/>
      <c r="F68" s="7"/>
      <c r="G68" s="7"/>
      <c r="H68" s="7"/>
      <c r="J68" s="7"/>
      <c r="K68" s="7"/>
      <c r="L68" s="7"/>
      <c r="M68" s="7"/>
      <c r="N68" s="7"/>
      <c r="O68" s="7"/>
      <c r="P68" s="5"/>
      <c r="Q68" s="5"/>
      <c r="R68" s="5"/>
      <c r="S68" s="5"/>
      <c r="T68" s="5"/>
      <c r="U68" s="5"/>
      <c r="V68" s="5"/>
      <c r="W68" s="5"/>
    </row>
    <row r="69" spans="1:31">
      <c r="A69">
        <v>42</v>
      </c>
      <c r="B69" s="7">
        <f t="shared" ca="1" si="4"/>
        <v>0.128</v>
      </c>
      <c r="C69" s="7">
        <f t="shared" ca="1" si="2"/>
        <v>0.13</v>
      </c>
      <c r="D69" s="7" t="str">
        <f t="shared" ca="1" si="3"/>
        <v xml:space="preserve">0,13; 0,13; 0,1; 0,1; 0,18; 0,11; 0,2; 0,11; 0,17; 0,18; 0,11; 0,18; 0,12; 0,12; 0,13; 0,12; 0,15; 0,13; 0,1; 0,1; 0,12; 0,1; 0,18; 0,18; 0,13; 0,13; 0,2; 0,12; 0,2; 0,12; 0,12; 0,11; 0,12; 0,1; 0,16; 0,12; 0,2; 0,2; 0,14; 0,13; 0,11; 0,1; ; ; ; ; ; ; ; </v>
      </c>
      <c r="E69" s="7"/>
      <c r="F69" s="7"/>
      <c r="G69" s="7"/>
      <c r="H69" s="7"/>
      <c r="I69" s="5"/>
      <c r="J69" s="7"/>
      <c r="K69" s="7"/>
      <c r="L69" s="7"/>
      <c r="M69" s="7"/>
      <c r="N69" s="7"/>
      <c r="O69" s="7"/>
      <c r="P69" s="5"/>
      <c r="Q69" s="5"/>
      <c r="R69" s="5"/>
      <c r="S69" s="5"/>
      <c r="T69" s="5"/>
      <c r="U69" s="5"/>
      <c r="V69" s="5"/>
      <c r="W69" s="5"/>
    </row>
    <row r="70" spans="1:31">
      <c r="A70">
        <v>41</v>
      </c>
      <c r="B70" s="7">
        <f t="shared" ca="1" si="4"/>
        <v>0.13</v>
      </c>
      <c r="C70" s="7">
        <f ca="1">ROUND(B70,2)</f>
        <v>0.13</v>
      </c>
      <c r="D70" s="7" t="str">
        <f t="shared" ca="1" si="3"/>
        <v xml:space="preserve">0,13; 0,1; 0,1; 0,18; 0,11; 0,2; 0,11; 0,17; 0,18; 0,11; 0,18; 0,12; 0,12; 0,13; 0,12; 0,15; 0,13; 0,1; 0,1; 0,12; 0,1; 0,18; 0,18; 0,13; 0,13; 0,2; 0,12; 0,2; 0,12; 0,12; 0,11; 0,12; 0,1; 0,16; 0,12; 0,2; 0,2; 0,14; 0,13; 0,11; 0,1; ; ; ; ; ; ; ; ; </v>
      </c>
      <c r="E70" s="7"/>
      <c r="F70" s="7"/>
      <c r="G70" s="7"/>
      <c r="H70" s="7"/>
      <c r="J70" s="7"/>
      <c r="K70" s="7"/>
      <c r="L70" s="7"/>
      <c r="M70" s="7"/>
      <c r="N70" s="7"/>
      <c r="O70" s="7"/>
      <c r="P70" s="5"/>
      <c r="Q70" s="5"/>
      <c r="R70" s="5"/>
      <c r="S70" s="5"/>
      <c r="T70" s="5"/>
      <c r="U70" s="5"/>
      <c r="V70" s="5"/>
      <c r="W70" s="5"/>
    </row>
    <row r="71" spans="1:31">
      <c r="A71">
        <v>40</v>
      </c>
      <c r="B71" s="7">
        <f t="shared" ca="1" si="4"/>
        <v>0.1</v>
      </c>
      <c r="C71" s="7">
        <f t="shared" ca="1" si="2"/>
        <v>0.1</v>
      </c>
      <c r="D71" s="7" t="str">
        <f t="shared" ca="1" si="3"/>
        <v xml:space="preserve">0,1; 0,1; 0,18; 0,11; 0,2; 0,11; 0,17; 0,18; 0,11; 0,18; 0,12; 0,12; 0,13; 0,12; 0,15; 0,13; 0,1; 0,1; 0,12; 0,1; 0,18; 0,18; 0,13; 0,13; 0,2; 0,12; 0,2; 0,12; 0,12; 0,11; 0,12; 0,1; 0,16; 0,12; 0,2; 0,2; 0,14; 0,13; 0,11; 0,1; ; ; ; ; ; ; ; ; ; </v>
      </c>
      <c r="E71" s="7"/>
      <c r="F71" s="7"/>
      <c r="G71" s="7"/>
      <c r="H71" s="7"/>
      <c r="I71" s="5"/>
      <c r="J71" s="7"/>
      <c r="K71" s="7"/>
      <c r="L71" s="7"/>
      <c r="M71" s="7"/>
      <c r="N71" s="7"/>
      <c r="O71" s="7"/>
      <c r="P71" s="5"/>
      <c r="Q71" s="5"/>
      <c r="R71" s="5"/>
      <c r="S71" s="5"/>
      <c r="T71" s="5"/>
      <c r="U71" s="5"/>
      <c r="V71" s="5"/>
      <c r="W71" s="5"/>
    </row>
    <row r="72" spans="1:31">
      <c r="A72">
        <v>39</v>
      </c>
      <c r="B72" s="7">
        <f t="shared" ca="1" si="4"/>
        <v>0.10199999999999999</v>
      </c>
      <c r="C72" s="7">
        <f t="shared" ca="1" si="2"/>
        <v>0.1</v>
      </c>
      <c r="D72" s="7" t="str">
        <f t="shared" ca="1" si="3"/>
        <v xml:space="preserve">0,1; 0,18; 0,11; 0,2; 0,11; 0,17; 0,18; 0,11; 0,18; 0,12; 0,12; 0,13; 0,12; 0,15; 0,13; 0,1; 0,1; 0,12; 0,1; 0,18; 0,18; 0,13; 0,13; 0,2; 0,12; 0,2; 0,12; 0,12; 0,11; 0,12; 0,1; 0,16; 0,12; 0,2; 0,2; 0,14; 0,13; 0,11; 0,1; ; ; ; ; ; ; ; ; ; ; </v>
      </c>
      <c r="E72" s="7"/>
      <c r="F72" s="7"/>
      <c r="G72" s="7"/>
      <c r="H72" s="7"/>
      <c r="J72" s="7"/>
      <c r="K72" s="7"/>
      <c r="L72" s="7"/>
      <c r="M72" s="7"/>
      <c r="N72" s="7"/>
      <c r="O72" s="7"/>
      <c r="P72" s="5"/>
      <c r="Q72" s="5"/>
      <c r="R72" s="5"/>
      <c r="S72" s="5"/>
      <c r="T72" s="5"/>
      <c r="U72" s="5"/>
      <c r="V72" s="5"/>
      <c r="W72" s="5"/>
    </row>
    <row r="73" spans="1:31" s="43" customFormat="1">
      <c r="A73">
        <v>38</v>
      </c>
      <c r="B73" s="7">
        <f t="shared" ca="1" si="4"/>
        <v>0.18</v>
      </c>
      <c r="C73" s="7">
        <f t="shared" ca="1" si="2"/>
        <v>0.18</v>
      </c>
      <c r="D73" s="7" t="str">
        <f t="shared" ca="1" si="3"/>
        <v xml:space="preserve">0,18; 0,11; 0,2; 0,11; 0,17; 0,18; 0,11; 0,18; 0,12; 0,12; 0,13; 0,12; 0,15; 0,13; 0,1; 0,1; 0,12; 0,1; 0,18; 0,18; 0,13; 0,13; 0,2; 0,12; 0,2; 0,12; 0,12; 0,11; 0,12; 0,1; 0,16; 0,12; 0,2; 0,2; 0,14; 0,13; 0,11; 0,1; ; ; ; ; ; ; ; ; ; ; ; </v>
      </c>
      <c r="E73" s="7"/>
      <c r="F73" s="7"/>
      <c r="G73" s="7"/>
      <c r="H73" s="7"/>
      <c r="I73" s="5"/>
      <c r="J73" s="7"/>
      <c r="K73" s="7"/>
      <c r="L73" s="7"/>
      <c r="M73" s="7"/>
      <c r="N73" s="7"/>
      <c r="O73" s="7"/>
      <c r="P73" s="5"/>
      <c r="Q73" s="5"/>
      <c r="R73" s="5"/>
      <c r="S73" s="5"/>
      <c r="T73" s="5"/>
      <c r="U73" s="5"/>
      <c r="V73" s="5"/>
      <c r="W73" s="5"/>
      <c r="X73"/>
      <c r="Y73"/>
      <c r="Z73"/>
      <c r="AA73"/>
      <c r="AB73"/>
      <c r="AC73"/>
      <c r="AD73"/>
      <c r="AE73"/>
    </row>
    <row r="74" spans="1:31">
      <c r="A74">
        <v>37</v>
      </c>
      <c r="B74" s="7">
        <f t="shared" ca="1" si="4"/>
        <v>0.111</v>
      </c>
      <c r="C74" s="7">
        <f t="shared" ca="1" si="2"/>
        <v>0.11</v>
      </c>
      <c r="D74" s="7" t="str">
        <f t="shared" ca="1" si="3"/>
        <v xml:space="preserve">0,11; 0,2; 0,11; 0,17; 0,18; 0,11; 0,18; 0,12; 0,12; 0,13; 0,12; 0,15; 0,13; 0,1; 0,1; 0,12; 0,1; 0,18; 0,18; 0,13; 0,13; 0,2; 0,12; 0,2; 0,12; 0,12; 0,11; 0,12; 0,1; 0,16; 0,12; 0,2; 0,2; 0,14; 0,13; 0,11; 0,1; ; ; ; ; ; ; ; ; ; ; ; ; </v>
      </c>
      <c r="E74" s="7"/>
      <c r="F74" s="7"/>
      <c r="G74" s="7"/>
      <c r="H74" s="7"/>
      <c r="J74" s="7"/>
      <c r="K74" s="7"/>
      <c r="L74" s="7"/>
      <c r="M74" s="7"/>
      <c r="N74" s="7"/>
      <c r="O74" s="7"/>
      <c r="P74" s="5"/>
      <c r="Q74" s="5"/>
      <c r="R74" s="5"/>
      <c r="S74" s="5"/>
      <c r="T74" s="5"/>
      <c r="U74" s="5"/>
      <c r="V74" s="5"/>
      <c r="W74" s="5"/>
    </row>
    <row r="75" spans="1:31">
      <c r="A75">
        <v>36</v>
      </c>
      <c r="B75" s="7">
        <f t="shared" ca="1" si="4"/>
        <v>0.19900000000000001</v>
      </c>
      <c r="C75" s="7">
        <f t="shared" ca="1" si="2"/>
        <v>0.2</v>
      </c>
      <c r="D75" s="7" t="str">
        <f t="shared" ca="1" si="3"/>
        <v xml:space="preserve">0,2; 0,11; 0,17; 0,18; 0,11; 0,18; 0,12; 0,12; 0,13; 0,12; 0,15; 0,13; 0,1; 0,1; 0,12; 0,1; 0,18; 0,18; 0,13; 0,13; 0,2; 0,12; 0,2; 0,12; 0,12; 0,11; 0,12; 0,1; 0,16; 0,12; 0,2; 0,2; 0,14; 0,13; 0,11; 0,1; ; ; ; ; ; ; ; ; ; ; ; ; ; </v>
      </c>
      <c r="E75" s="7"/>
      <c r="F75" s="7"/>
      <c r="G75" s="7"/>
      <c r="H75" s="7"/>
      <c r="I75" s="5"/>
      <c r="J75" s="7"/>
      <c r="K75" s="7"/>
      <c r="L75" s="7"/>
      <c r="M75" s="7"/>
      <c r="N75" s="7"/>
      <c r="O75" s="7"/>
      <c r="P75" s="5"/>
      <c r="Q75" s="5"/>
      <c r="R75" s="5"/>
      <c r="S75" s="5"/>
      <c r="T75" s="5"/>
      <c r="U75" s="5"/>
      <c r="V75" s="5"/>
      <c r="W75" s="5"/>
    </row>
    <row r="76" spans="1:31">
      <c r="A76">
        <v>35</v>
      </c>
      <c r="B76" s="7">
        <f t="shared" ca="1" si="4"/>
        <v>0.111</v>
      </c>
      <c r="C76" s="7">
        <f t="shared" ca="1" si="2"/>
        <v>0.11</v>
      </c>
      <c r="D76" s="7" t="str">
        <f t="shared" ca="1" si="3"/>
        <v xml:space="preserve">0,11; 0,17; 0,18; 0,11; 0,18; 0,12; 0,12; 0,13; 0,12; 0,15; 0,13; 0,1; 0,1; 0,12; 0,1; 0,18; 0,18; 0,13; 0,13; 0,2; 0,12; 0,2; 0,12; 0,12; 0,11; 0,12; 0,1; 0,16; 0,12; 0,2; 0,2; 0,14; 0,13; 0,11; 0,1; ; ; ; ; ; ; ; ; ; ; ; ; ; ; </v>
      </c>
      <c r="E76" s="7"/>
      <c r="F76" s="7"/>
      <c r="G76" s="7"/>
      <c r="H76" s="7"/>
      <c r="J76" s="7"/>
      <c r="K76" s="7"/>
      <c r="L76" s="7"/>
      <c r="M76" s="7"/>
      <c r="N76" s="7"/>
      <c r="O76" s="7"/>
      <c r="P76" s="5"/>
      <c r="Q76" s="5"/>
      <c r="R76" s="5"/>
      <c r="S76" s="5"/>
      <c r="T76" s="5"/>
      <c r="U76" s="5"/>
      <c r="V76" s="5"/>
      <c r="W76" s="5"/>
    </row>
    <row r="77" spans="1:31">
      <c r="A77">
        <v>34</v>
      </c>
      <c r="B77" s="7">
        <f t="shared" ca="1" si="4"/>
        <v>0.17399999999999999</v>
      </c>
      <c r="C77" s="7">
        <f t="shared" ca="1" si="2"/>
        <v>0.17</v>
      </c>
      <c r="D77" s="7" t="str">
        <f t="shared" ca="1" si="3"/>
        <v xml:space="preserve">0,17; 0,18; 0,11; 0,18; 0,12; 0,12; 0,13; 0,12; 0,15; 0,13; 0,1; 0,1; 0,12; 0,1; 0,18; 0,18; 0,13; 0,13; 0,2; 0,12; 0,2; 0,12; 0,12; 0,11; 0,12; 0,1; 0,16; 0,12; 0,2; 0,2; 0,14; 0,13; 0,11; 0,1; ; ; ; ; ; ; ; ; ; ; ; ; ; ; ; </v>
      </c>
      <c r="E77" s="7"/>
      <c r="F77" s="7"/>
      <c r="G77" s="7"/>
      <c r="H77" s="7"/>
      <c r="I77" s="5"/>
      <c r="J77" s="7"/>
      <c r="K77" s="7"/>
      <c r="L77" s="7"/>
      <c r="M77" s="7"/>
      <c r="N77" s="7"/>
      <c r="O77" s="7"/>
      <c r="P77" s="5"/>
      <c r="Q77" s="5"/>
      <c r="R77" s="5"/>
      <c r="S77" s="5"/>
      <c r="T77" s="5"/>
      <c r="U77" s="5"/>
      <c r="V77" s="5"/>
      <c r="W77" s="5"/>
    </row>
    <row r="78" spans="1:31">
      <c r="A78">
        <v>33</v>
      </c>
      <c r="B78" s="7">
        <f t="shared" ca="1" si="4"/>
        <v>0.18099999999999999</v>
      </c>
      <c r="C78" s="7">
        <f t="shared" ca="1" si="2"/>
        <v>0.18</v>
      </c>
      <c r="D78" s="7" t="str">
        <f t="shared" ca="1" si="3"/>
        <v xml:space="preserve">0,18; 0,11; 0,18; 0,12; 0,12; 0,13; 0,12; 0,15; 0,13; 0,1; 0,1; 0,12; 0,1; 0,18; 0,18; 0,13; 0,13; 0,2; 0,12; 0,2; 0,12; 0,12; 0,11; 0,12; 0,1; 0,16; 0,12; 0,2; 0,2; 0,14; 0,13; 0,11; 0,1; ; ; ; ; ; ; ; ; ; ; ; ; ; ; ; ; </v>
      </c>
      <c r="E78" s="7"/>
      <c r="F78" s="7"/>
      <c r="G78" s="7"/>
      <c r="H78" s="7"/>
      <c r="J78" s="7"/>
      <c r="K78" s="7"/>
      <c r="L78" s="7"/>
      <c r="M78" s="7"/>
      <c r="N78" s="7"/>
      <c r="O78" s="7"/>
      <c r="P78" s="5"/>
      <c r="Q78" s="5"/>
      <c r="R78" s="5"/>
      <c r="S78" s="5"/>
      <c r="T78" s="5"/>
      <c r="U78" s="5"/>
      <c r="V78" s="5"/>
      <c r="W78" s="5"/>
    </row>
    <row r="79" spans="1:31">
      <c r="A79">
        <v>32</v>
      </c>
      <c r="B79" s="7">
        <f t="shared" ca="1" si="4"/>
        <v>0.112</v>
      </c>
      <c r="C79" s="7">
        <f t="shared" ca="1" si="2"/>
        <v>0.11</v>
      </c>
      <c r="D79" s="7" t="str">
        <f t="shared" ca="1" si="3"/>
        <v xml:space="preserve">0,11; 0,18; 0,12; 0,12; 0,13; 0,12; 0,15; 0,13; 0,1; 0,1; 0,12; 0,1; 0,18; 0,18; 0,13; 0,13; 0,2; 0,12; 0,2; 0,12; 0,12; 0,11; 0,12; 0,1; 0,16; 0,12; 0,2; 0,2; 0,14; 0,13; 0,11; 0,1; ; ; ; ; ; ; ; ; ; ; ; ; ; ; ; ; ; </v>
      </c>
      <c r="E79" s="7"/>
      <c r="F79" s="7"/>
      <c r="G79" s="7"/>
      <c r="H79" s="7"/>
      <c r="I79" s="5"/>
      <c r="J79" s="7"/>
      <c r="K79" s="7"/>
      <c r="L79" s="7"/>
      <c r="M79" s="7"/>
      <c r="N79" s="7"/>
      <c r="O79" s="7"/>
      <c r="P79" s="5"/>
      <c r="Q79" s="5"/>
      <c r="R79" s="5"/>
      <c r="S79" s="5"/>
      <c r="T79" s="5"/>
      <c r="U79" s="5"/>
      <c r="V79" s="5"/>
      <c r="W79" s="5"/>
    </row>
    <row r="80" spans="1:31">
      <c r="A80">
        <v>31</v>
      </c>
      <c r="B80" s="7">
        <f t="shared" ca="1" si="4"/>
        <v>0.17799999999999999</v>
      </c>
      <c r="C80" s="7">
        <f ca="1">ROUND(B80,2)</f>
        <v>0.18</v>
      </c>
      <c r="D80" s="7" t="str">
        <f t="shared" ca="1" si="3"/>
        <v xml:space="preserve">0,18; 0,12; 0,12; 0,13; 0,12; 0,15; 0,13; 0,1; 0,1; 0,12; 0,1; 0,18; 0,18; 0,13; 0,13; 0,2; 0,12; 0,2; 0,12; 0,12; 0,11; 0,12; 0,1; 0,16; 0,12; 0,2; 0,2; 0,14; 0,13; 0,11; 0,1; ; ; ; ; ; ; ; ; ; ; ; ; ; ; ; ; ; ; </v>
      </c>
      <c r="E80" s="7"/>
      <c r="F80" s="7"/>
      <c r="G80" s="7"/>
      <c r="H80" s="7"/>
      <c r="J80" s="7"/>
      <c r="K80" s="7"/>
      <c r="L80" s="7"/>
      <c r="M80" s="7"/>
      <c r="N80" s="7"/>
      <c r="O80" s="7"/>
      <c r="P80" s="5"/>
      <c r="Q80" s="5"/>
      <c r="R80" s="5"/>
      <c r="S80" s="5"/>
      <c r="T80" s="5"/>
      <c r="U80" s="5"/>
      <c r="V80" s="5"/>
      <c r="W80" s="5"/>
    </row>
    <row r="81" spans="1:31">
      <c r="A81">
        <v>30</v>
      </c>
      <c r="B81" s="7">
        <f t="shared" ca="1" si="4"/>
        <v>0.11799999999999999</v>
      </c>
      <c r="C81" s="7">
        <f t="shared" ca="1" si="2"/>
        <v>0.12</v>
      </c>
      <c r="D81" s="7" t="str">
        <f ca="1">CONCATENATE(C81,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C130)</f>
        <v xml:space="preserve">0,12; 0,12; 0,13; 0,12; 0,15; 0,13; 0,1; 0,1; 0,12; 0,1; 0,18; 0,18; 0,13; 0,13; 0,2; 0,12; 0,2; 0,12; 0,12; 0,11; 0,12; 0,1; 0,16; 0,12; 0,2; 0,2; 0,14; 0,13; 0,11; 0,1; ; ; ; ; ; ; ; ; ; ; ; ; ; ; ; ; ; ; ; </v>
      </c>
      <c r="E81" s="7"/>
      <c r="F81" s="7"/>
      <c r="G81" s="7"/>
      <c r="H81" s="7"/>
      <c r="I81" s="5"/>
      <c r="J81" s="7"/>
      <c r="K81" s="7"/>
      <c r="L81" s="7"/>
      <c r="M81" s="7"/>
      <c r="N81" s="7"/>
      <c r="O81" s="7"/>
      <c r="P81" s="5"/>
      <c r="Q81" s="5"/>
      <c r="R81" s="5"/>
      <c r="S81" s="5"/>
      <c r="T81" s="5"/>
      <c r="U81" s="5"/>
      <c r="V81" s="5"/>
      <c r="W81" s="5"/>
    </row>
    <row r="82" spans="1:31">
      <c r="A82">
        <v>29</v>
      </c>
      <c r="B82" s="7">
        <f t="shared" ca="1" si="4"/>
        <v>0.121</v>
      </c>
      <c r="C82" s="7">
        <f t="shared" ca="1" si="2"/>
        <v>0.12</v>
      </c>
      <c r="D82" s="7" t="str">
        <f ca="1">CONCATENATE(C82,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C131)</f>
        <v xml:space="preserve">0,12; 0,13; 0,12; 0,15; 0,13; 0,1; 0,1; 0,12; 0,1; 0,18; 0,18; 0,13; 0,13; 0,2; 0,12; 0,2; 0,12; 0,12; 0,11; 0,12; 0,1; 0,16; 0,12; 0,2; 0,2; 0,14; 0,13; 0,11; 0,1; ; ; ; ; ; ; ; ; ; ; ; ; ; ; ; ; ; ; ; ; </v>
      </c>
      <c r="E82" s="7"/>
      <c r="F82" s="7"/>
      <c r="G82" s="7"/>
      <c r="H82" s="7"/>
      <c r="J82" s="7"/>
      <c r="K82" s="7"/>
      <c r="L82" s="7"/>
      <c r="M82" s="7"/>
      <c r="N82" s="7"/>
      <c r="O82" s="7"/>
      <c r="P82" s="5"/>
      <c r="Q82" s="5"/>
      <c r="R82" s="5"/>
      <c r="S82" s="5"/>
      <c r="T82" s="5"/>
      <c r="U82" s="5"/>
      <c r="V82" s="5"/>
      <c r="W82" s="5"/>
    </row>
    <row r="83" spans="1:31">
      <c r="A83">
        <v>28</v>
      </c>
      <c r="B83" s="7">
        <f t="shared" ca="1" si="4"/>
        <v>0.13200000000000001</v>
      </c>
      <c r="C83" s="7">
        <f t="shared" ca="1" si="2"/>
        <v>0.13</v>
      </c>
      <c r="D83" s="7" t="str">
        <f t="shared" ref="D83:D94" ca="1" si="5">CONCATENATE(C83,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C131, "; ", C132)</f>
        <v xml:space="preserve">0,13; 0,12; 0,15; 0,13; 0,1; 0,1; 0,12; 0,1; 0,18; 0,18; 0,13; 0,13; 0,2; 0,12; 0,2; 0,12; 0,12; 0,11; 0,12; 0,1; 0,16; 0,12; 0,2; 0,2; 0,14; 0,13; 0,11; 0,1; ; ; ; ; ; ; ; ; ; ; ; ; ; ; ; ; ; ; ; ; ; </v>
      </c>
      <c r="E83" s="7"/>
      <c r="F83" s="7"/>
      <c r="G83" s="7"/>
      <c r="H83" s="7"/>
      <c r="I83" s="5"/>
      <c r="J83" s="7"/>
      <c r="K83" s="7"/>
      <c r="L83" s="7"/>
      <c r="M83" s="7"/>
      <c r="N83" s="7"/>
      <c r="O83" s="7"/>
      <c r="P83" s="5"/>
      <c r="Q83" s="5"/>
      <c r="R83" s="5"/>
      <c r="S83" s="5"/>
      <c r="T83" s="5"/>
      <c r="U83" s="5"/>
      <c r="V83" s="5"/>
      <c r="W83" s="5"/>
    </row>
    <row r="84" spans="1:31">
      <c r="A84">
        <v>27</v>
      </c>
      <c r="B84" s="7">
        <f t="shared" ca="1" si="4"/>
        <v>0.11899999999999999</v>
      </c>
      <c r="C84" s="7">
        <f ca="1">ROUND(B84,2)</f>
        <v>0.12</v>
      </c>
      <c r="D84" s="7" t="str">
        <f ca="1">CONCATENATE(C84,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0,15; 0,13; 0,1; 0,1; 0,12; 0,1; 0,18; 0,18; 0,13; 0,13; 0,2; 0,12; 0,2; 0,12; 0,12; 0,11; 0,12; 0,1; 0,16; 0,12; 0,2; 0,2; 0,14; 0,13; 0,11; 0,1</v>
      </c>
      <c r="E84" s="7"/>
      <c r="F84" s="7"/>
      <c r="G84" s="7"/>
      <c r="H84" s="7"/>
      <c r="J84" s="7"/>
      <c r="K84" s="7"/>
      <c r="L84" s="7"/>
      <c r="M84" s="7"/>
      <c r="N84" s="7"/>
      <c r="O84" s="7"/>
      <c r="P84" s="5"/>
      <c r="Q84" s="5"/>
      <c r="R84" s="5"/>
      <c r="S84" s="5"/>
      <c r="T84" s="5"/>
      <c r="U84" s="5"/>
      <c r="V84" s="5"/>
      <c r="W84" s="5"/>
    </row>
    <row r="85" spans="1:31">
      <c r="A85">
        <v>26</v>
      </c>
      <c r="B85" s="7">
        <f t="shared" ca="1" si="4"/>
        <v>0.15</v>
      </c>
      <c r="C85" s="7">
        <f t="shared" ca="1" si="2"/>
        <v>0.15</v>
      </c>
      <c r="D85" s="7" t="str">
        <f t="shared" ca="1" si="5"/>
        <v xml:space="preserve">0,15; 0,13; 0,1; 0,1; 0,12; 0,1; 0,18; 0,18; 0,13; 0,13; 0,2; 0,12; 0,2; 0,12; 0,12; 0,11; 0,12; 0,1; 0,16; 0,12; 0,2; 0,2; 0,14; 0,13; 0,11; 0,1; ; ; ; ; ; ; ; ; ; ; ; ; ; ; ; ; ; ; ; ; ; ; ; </v>
      </c>
      <c r="E85" s="7"/>
      <c r="F85" s="7"/>
      <c r="G85" s="7"/>
      <c r="H85" s="7"/>
      <c r="I85" s="5"/>
      <c r="J85" s="7"/>
      <c r="K85" s="7"/>
      <c r="L85" s="7"/>
      <c r="M85" s="7"/>
      <c r="N85" s="7"/>
      <c r="O85" s="7"/>
      <c r="P85" s="5"/>
      <c r="Q85" s="5"/>
      <c r="R85" s="5"/>
      <c r="S85" s="5"/>
      <c r="T85" s="5"/>
      <c r="U85" s="5"/>
      <c r="V85" s="5"/>
      <c r="W85" s="5"/>
    </row>
    <row r="86" spans="1:31">
      <c r="A86" s="43">
        <v>25</v>
      </c>
      <c r="B86" s="7">
        <f ca="1">ROUND(0.1+0.11*POWER(RAND(),1.444444444),2)</f>
        <v>0.13</v>
      </c>
      <c r="C86" s="25">
        <f t="shared" ca="1" si="2"/>
        <v>0.13</v>
      </c>
      <c r="D86" s="25" t="str">
        <f t="shared" ca="1" si="5"/>
        <v xml:space="preserve">0,13; 0,1; 0,1; 0,12; 0,1; 0,18; 0,18; 0,13; 0,13; 0,2; 0,12; 0,2; 0,12; 0,12; 0,11; 0,12; 0,1; 0,16; 0,12; 0,2; 0,2; 0,14; 0,13; 0,11; 0,1; ; ; ; ; ; ; ; ; ; ; ; ; ; ; ; ; ; ; ; ; ; ; ; ; </v>
      </c>
      <c r="E86" s="25"/>
      <c r="F86" s="25"/>
      <c r="G86" s="25"/>
      <c r="H86" s="25"/>
      <c r="I86" s="43"/>
      <c r="J86" s="25"/>
      <c r="K86" s="25"/>
      <c r="L86" s="25"/>
      <c r="M86" s="25"/>
      <c r="N86" s="25"/>
      <c r="O86" s="25"/>
      <c r="P86" s="18"/>
      <c r="Q86" s="18"/>
      <c r="R86" s="18"/>
      <c r="S86" s="18"/>
      <c r="T86" s="18"/>
      <c r="U86" s="18"/>
      <c r="V86" s="18"/>
      <c r="W86" s="18"/>
      <c r="X86" s="43"/>
      <c r="Y86" s="43"/>
      <c r="Z86" s="43"/>
      <c r="AA86" s="43"/>
      <c r="AB86" s="43"/>
      <c r="AC86" s="43"/>
      <c r="AD86" s="43"/>
      <c r="AE86" s="43"/>
    </row>
    <row r="87" spans="1:31">
      <c r="A87">
        <v>24</v>
      </c>
      <c r="B87" s="7">
        <f t="shared" ca="1" si="4"/>
        <v>0.10100000000000001</v>
      </c>
      <c r="C87" s="7">
        <f t="shared" ca="1" si="2"/>
        <v>0.1</v>
      </c>
      <c r="D87" s="7" t="str">
        <f t="shared" ca="1" si="5"/>
        <v xml:space="preserve">0,1; 0,1; 0,12; 0,1; 0,18; 0,18; 0,13; 0,13; 0,2; 0,12; 0,2; 0,12; 0,12; 0,11; 0,12; 0,1; 0,16; 0,12; 0,2; 0,2; 0,14; 0,13; 0,11; 0,1; ; ; ; ; ; ; ; ; ; ; ; ; ; ; ; ; ; ; ; ; ; ; ; ; ; </v>
      </c>
      <c r="E87" s="7"/>
      <c r="F87" s="7"/>
      <c r="G87" s="7"/>
      <c r="H87" s="7"/>
      <c r="I87" s="5"/>
      <c r="J87" s="7"/>
      <c r="K87" s="7"/>
      <c r="L87" s="7"/>
      <c r="M87" s="7"/>
      <c r="N87" s="7"/>
      <c r="O87" s="7"/>
      <c r="P87" s="5"/>
      <c r="Q87" s="5"/>
      <c r="R87" s="5"/>
      <c r="S87" s="5"/>
      <c r="T87" s="5"/>
      <c r="U87" s="5"/>
      <c r="V87" s="5"/>
      <c r="W87" s="5"/>
    </row>
    <row r="88" spans="1:31">
      <c r="A88">
        <v>23</v>
      </c>
      <c r="B88" s="7">
        <f t="shared" ca="1" si="4"/>
        <v>0.10299999999999999</v>
      </c>
      <c r="C88" s="7">
        <f t="shared" ca="1" si="2"/>
        <v>0.1</v>
      </c>
      <c r="D88" s="7" t="str">
        <f t="shared" ca="1" si="5"/>
        <v xml:space="preserve">0,1; 0,12; 0,1; 0,18; 0,18; 0,13; 0,13; 0,2; 0,12; 0,2; 0,12; 0,12; 0,11; 0,12; 0,1; 0,16; 0,12; 0,2; 0,2; 0,14; 0,13; 0,11; 0,1; ; ; ; ; ; ; ; ; ; ; ; ; ; ; ; ; ; ; ; ; ; ; ; ; ; ; </v>
      </c>
      <c r="E88" s="7"/>
      <c r="F88" s="7"/>
      <c r="G88" s="7"/>
      <c r="H88" s="7"/>
      <c r="J88" s="7"/>
      <c r="K88" s="7"/>
      <c r="L88" s="7"/>
      <c r="M88" s="7"/>
      <c r="N88" s="7"/>
      <c r="O88" s="7"/>
      <c r="P88" s="5"/>
      <c r="Q88" s="5"/>
      <c r="R88" s="5"/>
      <c r="S88" s="5"/>
      <c r="T88" s="5"/>
      <c r="U88" s="5"/>
      <c r="V88" s="5"/>
      <c r="W88" s="5"/>
    </row>
    <row r="89" spans="1:31">
      <c r="A89">
        <v>22</v>
      </c>
      <c r="B89" s="7">
        <f t="shared" ca="1" si="4"/>
        <v>0.121</v>
      </c>
      <c r="C89" s="7">
        <f t="shared" ca="1" si="2"/>
        <v>0.12</v>
      </c>
      <c r="D89" s="7" t="str">
        <f t="shared" ca="1" si="5"/>
        <v xml:space="preserve">0,12; 0,1; 0,18; 0,18; 0,13; 0,13; 0,2; 0,12; 0,2; 0,12; 0,12; 0,11; 0,12; 0,1; 0,16; 0,12; 0,2; 0,2; 0,14; 0,13; 0,11; 0,1; ; ; ; ; ; ; ; ; ; ; ; ; ; ; ; ; ; ; ; ; ; ; ; ; ; ; ; </v>
      </c>
      <c r="E89" s="7"/>
      <c r="F89" s="7"/>
      <c r="G89" s="7"/>
      <c r="H89" s="7"/>
      <c r="I89" s="5"/>
      <c r="J89" s="7"/>
      <c r="K89" s="7"/>
      <c r="L89" s="7"/>
      <c r="M89" s="7"/>
      <c r="N89" s="7"/>
      <c r="O89" s="7"/>
      <c r="P89" s="5"/>
      <c r="Q89" s="5"/>
      <c r="R89" s="5"/>
      <c r="S89" s="5"/>
      <c r="T89" s="5"/>
      <c r="U89" s="5"/>
      <c r="V89" s="5"/>
      <c r="W89" s="5"/>
    </row>
    <row r="90" spans="1:31">
      <c r="A90">
        <v>21</v>
      </c>
      <c r="B90" s="7">
        <f t="shared" ca="1" si="4"/>
        <v>0.10100000000000001</v>
      </c>
      <c r="C90" s="7">
        <f t="shared" ca="1" si="2"/>
        <v>0.1</v>
      </c>
      <c r="D90" s="7" t="str">
        <f t="shared" ca="1" si="5"/>
        <v xml:space="preserve">0,1; 0,18; 0,18; 0,13; 0,13; 0,2; 0,12; 0,2; 0,12; 0,12; 0,11; 0,12; 0,1; 0,16; 0,12; 0,2; 0,2; 0,14; 0,13; 0,11; 0,1; ; ; ; ; ; ; ; ; ; ; ; ; ; ; ; ; ; ; ; ; ; ; ; ; ; ; ; ; </v>
      </c>
      <c r="E90" s="7"/>
      <c r="F90" s="7"/>
      <c r="G90" s="7"/>
      <c r="H90" s="7"/>
      <c r="J90" s="7"/>
      <c r="K90" s="7"/>
      <c r="L90" s="7"/>
      <c r="M90" s="7"/>
      <c r="N90" s="7"/>
      <c r="O90" s="7"/>
      <c r="P90" s="5"/>
      <c r="Q90" s="5"/>
      <c r="R90" s="5"/>
      <c r="S90" s="5"/>
      <c r="T90" s="5"/>
      <c r="U90" s="5"/>
      <c r="V90" s="5"/>
      <c r="W90" s="5"/>
    </row>
    <row r="91" spans="1:31">
      <c r="A91">
        <v>20</v>
      </c>
      <c r="B91" s="7">
        <f t="shared" ca="1" si="4"/>
        <v>0.17699999999999999</v>
      </c>
      <c r="C91" s="7">
        <f t="shared" ca="1" si="2"/>
        <v>0.18</v>
      </c>
      <c r="D91" s="7" t="str">
        <f ca="1">CONCATENATE(C91, "; ", C92, "; ", C93, "; ", C94, "; ", C95, "; ", C96, "; ", C97, "; ", C98, "; ", C99, "; ", C100, "; ", C101, "; ", C102, "; ", C103, "; ", C104, "; ", C105, "; ", C106, "; ", C107, "; ", C108, "; ", C109, "; ", C110)</f>
        <v>0,18; 0,18; 0,13; 0,13; 0,2; 0,12; 0,2; 0,12; 0,12; 0,11; 0,12; 0,1; 0,16; 0,12; 0,2; 0,2; 0,14; 0,13; 0,11; 0,1</v>
      </c>
      <c r="E91" s="7"/>
      <c r="F91" s="7"/>
      <c r="G91" s="7"/>
      <c r="H91" s="7"/>
      <c r="I91" s="5"/>
      <c r="J91" s="7"/>
      <c r="K91" s="7"/>
      <c r="L91" s="7"/>
      <c r="M91" s="7"/>
      <c r="N91" s="7"/>
      <c r="O91" s="7"/>
      <c r="P91" s="5"/>
      <c r="Q91" s="5"/>
      <c r="R91" s="5"/>
      <c r="S91" s="5"/>
      <c r="T91" s="5"/>
      <c r="U91" s="5"/>
      <c r="V91" s="5"/>
      <c r="W91" s="5"/>
    </row>
    <row r="92" spans="1:31">
      <c r="A92">
        <v>19</v>
      </c>
      <c r="B92" s="7">
        <f t="shared" ca="1" si="4"/>
        <v>0.17899999999999999</v>
      </c>
      <c r="C92" s="7">
        <f t="shared" ca="1" si="2"/>
        <v>0.18</v>
      </c>
      <c r="D92" s="7" t="str">
        <f t="shared" ca="1" si="5"/>
        <v xml:space="preserve">0,18; 0,13; 0,13; 0,2; 0,12; 0,2; 0,12; 0,12; 0,11; 0,12; 0,1; 0,16; 0,12; 0,2; 0,2; 0,14; 0,13; 0,11; 0,1; ; ; ; ; ; ; ; ; ; ; ; ; ; ; ; ; ; ; ; ; ; ; ; ; ; ; ; ; ; ; </v>
      </c>
      <c r="E92" s="7"/>
      <c r="F92" s="7"/>
      <c r="G92" s="7"/>
      <c r="H92" s="7"/>
      <c r="J92" s="7"/>
      <c r="K92" s="7"/>
      <c r="L92" s="7"/>
      <c r="M92" s="7"/>
      <c r="N92" s="7"/>
      <c r="O92" s="7"/>
      <c r="P92" s="5"/>
      <c r="Q92" s="5"/>
      <c r="R92" s="5"/>
      <c r="S92" s="5"/>
      <c r="T92" s="5"/>
      <c r="U92" s="5"/>
      <c r="V92" s="5"/>
      <c r="W92" s="5"/>
    </row>
    <row r="93" spans="1:31">
      <c r="A93">
        <v>18</v>
      </c>
      <c r="B93" s="7">
        <f t="shared" ca="1" si="4"/>
        <v>0.13100000000000001</v>
      </c>
      <c r="C93" s="7">
        <f t="shared" ca="1" si="2"/>
        <v>0.13</v>
      </c>
      <c r="D93" s="7" t="str">
        <f ca="1">CONCATENATE(C93,"; ",C94,"; ",C95,"; ",C96,"; ",C97,"; ",C98,"; ",C99,"; ",C100,"; ",C101,"; ",C102,"; ",C103,"; ",C104,"; ",C105,"; ",C106,"; ",C107,"; ",C108,"; ",C109,"; ",C110)</f>
        <v>0,13; 0,13; 0,2; 0,12; 0,2; 0,12; 0,12; 0,11; 0,12; 0,1; 0,16; 0,12; 0,2; 0,2; 0,14; 0,13; 0,11; 0,1</v>
      </c>
      <c r="E93" s="7"/>
      <c r="F93" s="7"/>
      <c r="G93" s="7"/>
      <c r="H93" s="7"/>
      <c r="I93" s="5"/>
      <c r="J93" s="7"/>
      <c r="K93" s="7"/>
      <c r="L93" s="7"/>
      <c r="M93" s="7"/>
      <c r="N93" s="7"/>
      <c r="O93" s="7"/>
      <c r="P93" s="5"/>
      <c r="Q93" s="5"/>
      <c r="R93" s="5"/>
      <c r="S93" s="5"/>
      <c r="T93" s="5"/>
      <c r="U93" s="5"/>
      <c r="V93" s="5"/>
      <c r="W93" s="5"/>
    </row>
    <row r="94" spans="1:31">
      <c r="A94">
        <v>17</v>
      </c>
      <c r="B94" s="7">
        <f t="shared" ca="1" si="4"/>
        <v>0.13400000000000001</v>
      </c>
      <c r="C94" s="7">
        <f t="shared" ca="1" si="2"/>
        <v>0.13</v>
      </c>
      <c r="D94" s="7" t="str">
        <f t="shared" ca="1" si="5"/>
        <v xml:space="preserve">0,13; 0,2; 0,12; 0,2; 0,12; 0,12; 0,11; 0,12; 0,1; 0,16; 0,12; 0,2; 0,2; 0,14; 0,13; 0,11; 0,1; ; ; ; ; ; ; ; ; ; ; ; ; ; ; ; ; ; ; ; ; ; ; ; ; ; ; ; ; ; ; ; ; </v>
      </c>
      <c r="E94" s="7"/>
      <c r="F94" s="7"/>
      <c r="G94" s="7"/>
      <c r="H94" s="7"/>
      <c r="J94" s="7"/>
      <c r="K94" s="7"/>
      <c r="L94" s="7"/>
      <c r="M94" s="7"/>
      <c r="N94" s="7"/>
      <c r="O94" s="7"/>
      <c r="P94" s="5"/>
      <c r="Q94" s="5"/>
      <c r="R94" s="5"/>
      <c r="S94" s="5"/>
      <c r="T94" s="5"/>
      <c r="U94" s="5"/>
      <c r="V94" s="5"/>
      <c r="W94" s="5"/>
    </row>
    <row r="95" spans="1:31">
      <c r="A95">
        <v>16</v>
      </c>
      <c r="B95" s="7">
        <f t="shared" ca="1" si="4"/>
        <v>0.19700000000000001</v>
      </c>
      <c r="C95" s="7">
        <f t="shared" ca="1" si="2"/>
        <v>0.2</v>
      </c>
      <c r="D95" s="7" t="str">
        <f ca="1">CONCATENATE(C95,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C131, "; ", C132, "; ", C133, "; ", C134, "; ", C135, "; ", C136, "; ", C137, "; ", C138, "; ", C139, "; ", C140, "; ", C141, "; ", C142, "; ", C143, "; ", C144)</f>
        <v xml:space="preserve">0,2; 0,12; 0,2; 0,12; 0,12; 0,11; 0,12; 0,1; 0,16; 0,12; 0,2; 0,2; 0,14; 0,13; 0,11; 0,1; ; ; ; ; ; ; ; ; ; ; ; ; ; ; ; ; ; ; ; ; ; ; ; ; ; ; ; ; ; ; ; ; ; </v>
      </c>
      <c r="E95" s="7"/>
      <c r="F95" s="7"/>
      <c r="G95" s="7"/>
      <c r="H95" s="7"/>
      <c r="I95" s="5"/>
      <c r="J95" s="7"/>
      <c r="K95" s="7"/>
      <c r="L95" s="7"/>
      <c r="M95" s="7"/>
      <c r="N95" s="7"/>
      <c r="O95" s="7"/>
      <c r="P95" s="5"/>
      <c r="Q95" s="5"/>
      <c r="R95" s="5"/>
      <c r="S95" s="5"/>
      <c r="T95" s="5"/>
      <c r="U95" s="5"/>
      <c r="V95" s="5"/>
      <c r="W95" s="5"/>
    </row>
    <row r="96" spans="1:31">
      <c r="A96">
        <v>15</v>
      </c>
      <c r="B96" s="7">
        <f t="shared" ca="1" si="4"/>
        <v>0.11600000000000001</v>
      </c>
      <c r="C96" s="7">
        <f ca="1">ROUND(B96,2)</f>
        <v>0.12</v>
      </c>
      <c r="D96" s="7" t="str">
        <f ca="1">CONCATENATE(C96, "; ", C97, "; ", C98, "; ", C99, "; ", C100, "; ", C101, "; ", C102, "; ", C103, "; ", C104, "; ", C105, "; ", C106, "; ", C107, "; ", C108, "; ", C109, "; ", C110)</f>
        <v>0,12; 0,2; 0,12; 0,12; 0,11; 0,12; 0,1; 0,16; 0,12; 0,2; 0,2; 0,14; 0,13; 0,11; 0,1</v>
      </c>
      <c r="E96" s="7"/>
      <c r="F96" s="7"/>
      <c r="G96" s="7"/>
      <c r="H96" s="7"/>
      <c r="J96" s="7"/>
      <c r="K96" s="7"/>
      <c r="L96" s="7"/>
      <c r="M96" s="7"/>
      <c r="N96" s="7"/>
      <c r="O96" s="7"/>
      <c r="P96" s="5"/>
      <c r="Q96" s="5"/>
      <c r="R96" s="5"/>
      <c r="S96" s="5"/>
      <c r="T96" s="5"/>
      <c r="U96" s="5"/>
      <c r="V96" s="5"/>
      <c r="W96" s="5"/>
    </row>
    <row r="97" spans="1:31">
      <c r="A97">
        <v>14</v>
      </c>
      <c r="B97" s="7">
        <f t="shared" ca="1" si="4"/>
        <v>0.19600000000000001</v>
      </c>
      <c r="C97" s="7">
        <f t="shared" ca="1" si="2"/>
        <v>0.2</v>
      </c>
      <c r="D97" s="7" t="str">
        <f t="shared" ref="D97:D110" ca="1" si="6">CONCATENATE(C97,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C131, "; ", C132, "; ", C133, "; ", C134, "; ", C135, "; ", C136, "; ", C137, "; ", C138, "; ", C139, "; ", C140, "; ", C141, "; ", C142, "; ", C143, "; ", C144, "; ", C145, "; ", C146)</f>
        <v xml:space="preserve">0,2; 0,12; 0,12; 0,11; 0,12; 0,1; 0,16; 0,12; 0,2; 0,2; 0,14; 0,13; 0,11; 0,1; ; ; ; ; ; ; ; ; ; ; ; ; ; ; ; ; ; ; ; ; ; ; ; ; ; ; ; ; ; ; ; ; ; ; ; </v>
      </c>
      <c r="E97" s="7"/>
      <c r="F97" s="7"/>
      <c r="G97" s="7"/>
      <c r="H97" s="7"/>
      <c r="I97" s="5"/>
      <c r="J97" s="7"/>
      <c r="K97" s="7"/>
      <c r="L97" s="7"/>
      <c r="M97" s="7"/>
      <c r="N97" s="7"/>
      <c r="O97" s="7"/>
      <c r="P97" s="5"/>
      <c r="Q97" s="5"/>
      <c r="R97" s="7"/>
      <c r="S97" s="7"/>
      <c r="T97" s="7"/>
      <c r="U97" s="7"/>
      <c r="V97" s="7"/>
      <c r="W97" s="5"/>
    </row>
    <row r="98" spans="1:31">
      <c r="A98" s="43">
        <v>13</v>
      </c>
      <c r="B98" s="7">
        <f t="shared" ca="1" si="4"/>
        <v>0.11600000000000001</v>
      </c>
      <c r="C98" s="25">
        <f t="shared" ca="1" si="2"/>
        <v>0.12</v>
      </c>
      <c r="D98" s="25" t="str">
        <f ca="1">CONCATENATE(C98, "; ", C99, "; ", C100, "; ", C101, "; ", C102, "; ", C103, "; ", C104, "; ", C105, "; ", C106, "; ", C107, "; ", C108, "; ", C109, "; ", C110)</f>
        <v>0,12; 0,12; 0,11; 0,12; 0,1; 0,16; 0,12; 0,2; 0,2; 0,14; 0,13; 0,11; 0,1</v>
      </c>
      <c r="E98" s="25"/>
      <c r="F98" s="25"/>
      <c r="G98" s="25"/>
      <c r="H98" s="25"/>
      <c r="I98" s="43"/>
      <c r="J98" s="25"/>
      <c r="K98" s="25"/>
      <c r="L98" s="25"/>
      <c r="M98" s="25"/>
      <c r="N98" s="25"/>
      <c r="O98" s="25"/>
      <c r="P98" s="18"/>
      <c r="Q98" s="18"/>
      <c r="R98" s="25"/>
      <c r="S98" s="25"/>
      <c r="T98" s="25"/>
      <c r="U98" s="25"/>
      <c r="V98" s="25"/>
      <c r="W98" s="18"/>
      <c r="X98" s="43"/>
      <c r="Y98" s="43"/>
      <c r="Z98" s="43"/>
      <c r="AA98" s="43"/>
      <c r="AB98" s="43"/>
      <c r="AC98" s="43"/>
      <c r="AD98" s="43"/>
      <c r="AE98" s="43"/>
    </row>
    <row r="99" spans="1:31">
      <c r="A99">
        <v>12</v>
      </c>
      <c r="B99" s="7">
        <f t="shared" ca="1" si="4"/>
        <v>0.11700000000000001</v>
      </c>
      <c r="C99" s="7">
        <f t="shared" ca="1" si="2"/>
        <v>0.12</v>
      </c>
      <c r="D99" s="7" t="str">
        <f ca="1">CONCATENATE(C99, "; ", C100, "; ", C101, "; ", C102, "; ", C103, "; ", C104, "; ", C105, "; ", C106, "; ", C107, "; ", C108, "; ", C109, "; ", C110)</f>
        <v>0,12; 0,11; 0,12; 0,1; 0,16; 0,12; 0,2; 0,2; 0,14; 0,13; 0,11; 0,1</v>
      </c>
      <c r="E99" s="7"/>
      <c r="F99" s="7"/>
      <c r="G99" s="7"/>
      <c r="H99" s="7"/>
      <c r="I99" s="5"/>
      <c r="J99" s="7"/>
      <c r="K99" s="7"/>
      <c r="L99" s="7"/>
      <c r="M99" s="7"/>
      <c r="N99" s="7"/>
      <c r="O99" s="7"/>
      <c r="P99" s="5"/>
      <c r="Q99" s="5"/>
      <c r="R99" s="7"/>
      <c r="S99" s="7"/>
      <c r="T99" s="7"/>
      <c r="U99" s="5"/>
      <c r="V99" s="5"/>
      <c r="W99" s="5"/>
    </row>
    <row r="100" spans="1:31">
      <c r="A100">
        <v>11</v>
      </c>
      <c r="B100" s="7">
        <f t="shared" ca="1" si="4"/>
        <v>0.106</v>
      </c>
      <c r="C100" s="7">
        <f t="shared" ca="1" si="2"/>
        <v>0.11</v>
      </c>
      <c r="D100" s="7" t="str">
        <f t="shared" ca="1" si="6"/>
        <v xml:space="preserve">0,11; 0,12; 0,1; 0,16; 0,12; 0,2; 0,2; 0,14; 0,13; 0,11; 0,1; ; ; ; ; ; ; ; ; ; ; ; ; ; ; ; ; ; ; ; ; ; ; ; ; ; ; ; ; ; ; ; ; ; ; ; ; ; ; </v>
      </c>
      <c r="E100" s="7"/>
      <c r="F100" s="7"/>
      <c r="G100" s="7"/>
      <c r="H100" s="7"/>
      <c r="J100" s="7"/>
      <c r="K100" s="7"/>
      <c r="L100" s="7"/>
      <c r="M100" s="7"/>
      <c r="N100" s="7"/>
      <c r="O100" s="7"/>
      <c r="P100" s="5"/>
      <c r="Q100" s="5"/>
      <c r="R100" s="7"/>
      <c r="S100" s="7"/>
      <c r="T100" s="7"/>
      <c r="U100" s="5"/>
      <c r="V100" s="5"/>
      <c r="W100" s="5"/>
    </row>
    <row r="101" spans="1:31">
      <c r="A101">
        <v>10</v>
      </c>
      <c r="B101" s="7">
        <f t="shared" ca="1" si="4"/>
        <v>0.121</v>
      </c>
      <c r="C101" s="7">
        <f ca="1">ROUND(B101,2)</f>
        <v>0.12</v>
      </c>
      <c r="D101" s="7" t="str">
        <f ca="1">CONCATENATE(C101, "; ", C102, "; ", C103, "; ", C104, "; ", C105, "; ", C106, "; ", C107, "; ", C108, "; ", C109, "; ", C110)</f>
        <v>0,12; 0,1; 0,16; 0,12; 0,2; 0,2; 0,14; 0,13; 0,11; 0,1</v>
      </c>
      <c r="E101" s="7"/>
      <c r="F101" s="7"/>
      <c r="G101" s="7"/>
      <c r="H101" s="7"/>
      <c r="I101" s="5"/>
      <c r="J101" s="7"/>
      <c r="K101" s="7"/>
      <c r="L101" s="7"/>
      <c r="M101" s="7"/>
      <c r="N101" s="7"/>
      <c r="O101" s="7"/>
      <c r="P101" s="5"/>
      <c r="Q101" s="5"/>
      <c r="R101" s="7"/>
      <c r="S101" s="7"/>
      <c r="T101" s="7"/>
      <c r="U101" s="5"/>
      <c r="V101" s="5"/>
      <c r="W101" s="5"/>
    </row>
    <row r="102" spans="1:31">
      <c r="A102">
        <v>9</v>
      </c>
      <c r="B102" s="7">
        <f t="shared" ca="1" si="4"/>
        <v>0.1</v>
      </c>
      <c r="C102" s="7">
        <f t="shared" ca="1" si="2"/>
        <v>0.1</v>
      </c>
      <c r="D102" s="7" t="str">
        <f t="shared" ca="1" si="6"/>
        <v xml:space="preserve">0,1; 0,16; 0,12; 0,2; 0,2; 0,14; 0,13; 0,11; 0,1; ; ; ; ; ; ; ; ; ; ; ; ; ; ; ; ; ; ; ; ; ; ; ; ; ; ; ; ; ; ; ; ; ; ; ; ; ; ; ; ; </v>
      </c>
      <c r="E102" s="7"/>
      <c r="F102" s="7"/>
      <c r="G102" s="7"/>
      <c r="H102" s="7"/>
      <c r="J102" s="7"/>
      <c r="K102" s="7"/>
      <c r="L102" s="7"/>
      <c r="M102" s="7"/>
      <c r="N102" s="7"/>
      <c r="O102" s="7"/>
      <c r="P102" s="5"/>
      <c r="Q102" s="5"/>
      <c r="R102" s="7"/>
      <c r="S102" s="7"/>
      <c r="T102" s="7"/>
      <c r="U102" s="5"/>
      <c r="V102" s="5"/>
      <c r="W102" s="5"/>
    </row>
    <row r="103" spans="1:31">
      <c r="A103">
        <v>8</v>
      </c>
      <c r="B103" s="7">
        <f t="shared" ca="1" si="4"/>
        <v>0.156</v>
      </c>
      <c r="C103" s="7">
        <f t="shared" ca="1" si="2"/>
        <v>0.16</v>
      </c>
      <c r="D103" s="7" t="str">
        <f t="shared" ca="1" si="6"/>
        <v xml:space="preserve">0,16; 0,12; 0,2; 0,2; 0,14; 0,13; 0,11; 0,1; ; ; ; ; ; ; ; ; ; ; ; ; ; ; ; ; ; ; ; ; ; ; ; ; ; ; ; ; ; ; ; ; ; ; ; ; ; ; ; ; ; </v>
      </c>
      <c r="E103" s="7"/>
      <c r="F103" s="7"/>
      <c r="G103" s="7"/>
      <c r="H103" s="7"/>
      <c r="I103" s="5"/>
      <c r="J103" s="7"/>
      <c r="K103" s="7"/>
      <c r="L103" s="7"/>
      <c r="M103" s="7"/>
      <c r="N103" s="7"/>
      <c r="O103" s="7"/>
      <c r="P103" s="5"/>
      <c r="Q103" s="5"/>
      <c r="R103" s="7"/>
      <c r="S103" s="7"/>
      <c r="T103" s="7"/>
      <c r="U103" s="5"/>
      <c r="V103" s="5"/>
      <c r="W103" s="5"/>
    </row>
    <row r="104" spans="1:31">
      <c r="A104">
        <v>7</v>
      </c>
      <c r="B104" s="7">
        <f t="shared" ca="1" si="4"/>
        <v>0.11799999999999999</v>
      </c>
      <c r="C104" s="7">
        <f t="shared" ca="1" si="2"/>
        <v>0.12</v>
      </c>
      <c r="D104" s="7" t="str">
        <f t="shared" ca="1" si="6"/>
        <v xml:space="preserve">0,12; 0,2; 0,2; 0,14; 0,13; 0,11; 0,1; ; ; ; ; ; ; ; ; ; ; ; ; ; ; ; ; ; ; ; ; ; ; ; ; ; ; ; ; ; ; ; ; ; ; ; ; ; ; ; ; ; ; </v>
      </c>
      <c r="E104" s="7"/>
      <c r="F104" s="7"/>
      <c r="G104" s="7"/>
      <c r="H104" s="7"/>
      <c r="J104" s="7"/>
      <c r="K104" s="7"/>
      <c r="L104" s="7"/>
      <c r="M104" s="7"/>
      <c r="N104" s="7"/>
      <c r="O104" s="7"/>
      <c r="P104" s="5"/>
      <c r="Q104" s="5"/>
      <c r="R104" s="7"/>
      <c r="S104" s="7"/>
      <c r="T104" s="7"/>
      <c r="U104" s="5"/>
      <c r="V104" s="5"/>
      <c r="W104" s="5"/>
    </row>
    <row r="105" spans="1:31">
      <c r="A105">
        <v>6</v>
      </c>
      <c r="B105" s="7">
        <f t="shared" ca="1" si="4"/>
        <v>0.20200000000000001</v>
      </c>
      <c r="C105" s="7">
        <f ca="1">ROUND(B105,2)</f>
        <v>0.2</v>
      </c>
      <c r="D105" s="7" t="str">
        <f ca="1">CONCATENATE(C105, "; ", C106, "; ", C107, "; ", C108, "; ", C109, "; ", C110)</f>
        <v>0,2; 0,2; 0,14; 0,13; 0,11; 0,1</v>
      </c>
      <c r="E105" s="7"/>
      <c r="F105" s="7"/>
      <c r="G105" s="7"/>
      <c r="H105" s="7"/>
      <c r="I105" s="5"/>
      <c r="J105" s="7"/>
      <c r="K105" s="7"/>
      <c r="L105" s="7"/>
      <c r="M105" s="7"/>
      <c r="N105" s="7"/>
      <c r="O105" s="7"/>
      <c r="P105" s="5"/>
      <c r="Q105" s="5"/>
      <c r="R105" s="7"/>
      <c r="S105" s="7"/>
      <c r="T105" s="7"/>
      <c r="U105" s="5">
        <v>1</v>
      </c>
      <c r="V105" s="5"/>
      <c r="W105" s="5"/>
    </row>
    <row r="106" spans="1:31">
      <c r="A106">
        <v>5</v>
      </c>
      <c r="B106" s="7">
        <f t="shared" ca="1" si="4"/>
        <v>0.20200000000000001</v>
      </c>
      <c r="C106" s="7">
        <f t="shared" ca="1" si="2"/>
        <v>0.2</v>
      </c>
      <c r="D106" s="7" t="str">
        <f t="shared" ca="1" si="6"/>
        <v xml:space="preserve">0,2; 0,14; 0,13; 0,11; 0,1; ; ; ; ; ; ; ; ; ; ; ; ; ; ; ; ; ; ; ; ; ; ; ; ; ; ; ; ; ; ; ; ; ; ; ; ; ; ; ; ; ; ; ; ; </v>
      </c>
      <c r="E106" s="7"/>
      <c r="F106" s="7"/>
      <c r="G106" s="7"/>
      <c r="H106" s="7"/>
      <c r="J106" s="7"/>
      <c r="K106" s="7"/>
      <c r="L106" s="7"/>
      <c r="M106" s="7"/>
      <c r="N106" s="7"/>
      <c r="O106" s="7"/>
      <c r="P106" s="5"/>
      <c r="Q106" s="5"/>
      <c r="R106" s="7"/>
      <c r="S106" s="7"/>
      <c r="T106" s="7"/>
      <c r="U106" s="5"/>
      <c r="V106" s="5"/>
      <c r="W106" s="5"/>
    </row>
    <row r="107" spans="1:31">
      <c r="A107">
        <v>4</v>
      </c>
      <c r="B107" s="7">
        <f t="shared" ca="1" si="4"/>
        <v>0.13600000000000001</v>
      </c>
      <c r="C107" s="7">
        <f t="shared" ca="1" si="2"/>
        <v>0.14000000000000001</v>
      </c>
      <c r="D107" s="7" t="str">
        <f t="shared" ca="1" si="6"/>
        <v xml:space="preserve">0,14; 0,13; 0,11; 0,1; ; ; ; ; ; ; ; ; ; ; ; ; ; ; ; ; ; ; ; ; ; ; ; ; ; ; ; ; ; ; ; ; ; ; ; ; ; ; ; ; ; ; ; ; ; </v>
      </c>
      <c r="E107" s="7"/>
      <c r="F107" s="7"/>
      <c r="G107" s="7"/>
      <c r="H107" s="7"/>
      <c r="I107" s="5"/>
      <c r="J107" s="7"/>
      <c r="K107" s="7"/>
      <c r="L107" s="7"/>
      <c r="M107" s="7"/>
      <c r="N107" s="7"/>
      <c r="O107" s="7"/>
      <c r="P107" s="5"/>
      <c r="Q107" s="5"/>
      <c r="R107" s="7"/>
      <c r="S107" s="7"/>
      <c r="T107" s="7"/>
      <c r="U107" s="5"/>
      <c r="V107" s="5"/>
      <c r="W107" s="5"/>
    </row>
    <row r="108" spans="1:31">
      <c r="A108">
        <v>3</v>
      </c>
      <c r="B108" s="7">
        <f t="shared" ca="1" si="4"/>
        <v>0.125</v>
      </c>
      <c r="C108" s="7">
        <f t="shared" ca="1" si="2"/>
        <v>0.13</v>
      </c>
      <c r="D108" s="7" t="str">
        <f t="shared" ca="1" si="6"/>
        <v xml:space="preserve">0,13; 0,11; 0,1; ; ; ; ; ; ; ; ; ; ; ; ; ; ; ; ; ; ; ; ; ; ; ; ; ; ; ; ; ; ; ; ; ; ; ; ; ; ; ; ; ; ; ; ; ; ; </v>
      </c>
      <c r="E108" s="7"/>
      <c r="F108" s="7"/>
      <c r="G108" s="7"/>
      <c r="H108" s="7"/>
      <c r="J108" s="7"/>
      <c r="K108" s="7"/>
      <c r="L108" s="7"/>
      <c r="M108" s="7"/>
      <c r="N108" s="7"/>
      <c r="O108" s="7"/>
      <c r="P108" s="5"/>
      <c r="Q108" s="5"/>
      <c r="R108" s="7"/>
      <c r="S108" s="7"/>
      <c r="T108" s="7"/>
      <c r="U108" s="5"/>
      <c r="V108" s="5"/>
      <c r="W108" s="5"/>
    </row>
    <row r="109" spans="1:31">
      <c r="A109">
        <v>2</v>
      </c>
      <c r="B109" s="7">
        <f t="shared" ca="1" si="4"/>
        <v>0.112</v>
      </c>
      <c r="C109" s="7">
        <f t="shared" ca="1" si="2"/>
        <v>0.11</v>
      </c>
      <c r="D109" s="7" t="str">
        <f t="shared" ca="1" si="6"/>
        <v xml:space="preserve">0,11; 0,1; ; ; ; ; ; ; ; ; ; ; ; ; ; ; ; ; ; ; ; ; ; ; ; ; ; ; ; ; ; ; ; ; ; ; ; ; ; ; ; ; ; ; ; ; ; ; ; </v>
      </c>
      <c r="E109" s="7"/>
      <c r="F109" s="7"/>
      <c r="G109" s="7"/>
      <c r="H109" s="7"/>
      <c r="I109" s="5"/>
      <c r="J109" s="7"/>
      <c r="K109" s="7"/>
      <c r="L109" s="7"/>
      <c r="M109" s="7"/>
      <c r="N109" s="7"/>
      <c r="O109" s="7"/>
      <c r="P109" s="5"/>
      <c r="Q109" s="5"/>
      <c r="R109" s="7"/>
      <c r="S109" s="7"/>
      <c r="T109" s="7"/>
      <c r="U109" s="5"/>
      <c r="V109" s="5"/>
      <c r="W109" s="5"/>
    </row>
    <row r="110" spans="1:31">
      <c r="A110">
        <v>1</v>
      </c>
      <c r="B110" s="7">
        <f t="shared" ca="1" si="4"/>
        <v>0.10100000000000001</v>
      </c>
      <c r="C110" s="7">
        <f t="shared" ca="1" si="2"/>
        <v>0.1</v>
      </c>
      <c r="D110" s="7" t="str">
        <f t="shared" ca="1" si="6"/>
        <v xml:space="preserve">0,1; ; ; ; ; ; ; ; ; ; ; ; ; ; ; ; ; ; ; ; ; ; ; ; ; ; ; ; ; ; ; ; ; ; ; ; ; ; ; ; ; ; ; ; ; ; ; ; ; </v>
      </c>
      <c r="E110" s="7"/>
      <c r="F110" s="7"/>
      <c r="G110" s="7"/>
      <c r="H110" s="7"/>
      <c r="J110" s="7"/>
      <c r="K110" s="7"/>
      <c r="L110" s="7"/>
      <c r="M110" s="7"/>
      <c r="N110" s="7"/>
      <c r="O110" s="7"/>
      <c r="P110" s="5"/>
      <c r="Q110" s="5"/>
      <c r="R110" s="7"/>
      <c r="S110" s="7"/>
      <c r="T110" s="7"/>
      <c r="U110" s="5"/>
      <c r="V110" s="5"/>
      <c r="W110" s="5"/>
    </row>
    <row r="111" spans="1:31">
      <c r="B111" s="7"/>
      <c r="C111" s="7"/>
      <c r="D111" s="7"/>
      <c r="E111" s="7"/>
      <c r="F111" s="7"/>
      <c r="G111" s="7"/>
      <c r="H111" s="7"/>
      <c r="I111" s="5"/>
      <c r="J111" s="7"/>
      <c r="K111" s="7"/>
      <c r="L111" s="7"/>
    </row>
    <row r="112" spans="1:31">
      <c r="B112" s="7"/>
      <c r="C112" s="7"/>
      <c r="D112" s="7"/>
      <c r="E112" s="7"/>
      <c r="F112" s="7"/>
      <c r="G112" s="7"/>
      <c r="H112" s="7"/>
      <c r="J112" s="7"/>
      <c r="K112" s="7"/>
      <c r="L112" s="7"/>
    </row>
    <row r="113" spans="2:12">
      <c r="B113" s="7"/>
      <c r="C113" s="7"/>
      <c r="D113" s="7"/>
      <c r="E113" s="7"/>
      <c r="F113" s="7"/>
      <c r="G113" s="7"/>
      <c r="H113" s="7"/>
      <c r="I113" s="5"/>
      <c r="J113" s="7"/>
      <c r="K113" s="7"/>
      <c r="L113" s="7"/>
    </row>
    <row r="114" spans="2:12">
      <c r="B114" s="7"/>
      <c r="C114" s="7"/>
      <c r="D114" s="7"/>
      <c r="E114" s="7"/>
      <c r="F114" s="7"/>
      <c r="G114" s="7"/>
      <c r="H114" s="7"/>
      <c r="J114" s="7"/>
      <c r="K114" s="7"/>
      <c r="L114" s="7"/>
    </row>
    <row r="115" spans="2:12">
      <c r="B115" s="7"/>
      <c r="C115" s="7"/>
      <c r="D115" s="7"/>
      <c r="E115" s="7"/>
      <c r="F115" s="7"/>
      <c r="G115" s="7"/>
      <c r="H115" s="7"/>
      <c r="I115" s="5"/>
      <c r="J115" s="7"/>
      <c r="K115" s="7"/>
      <c r="L115" s="7"/>
    </row>
    <row r="116" spans="2:12">
      <c r="B116" s="7"/>
      <c r="C116" s="7"/>
      <c r="D116" s="7"/>
      <c r="E116" s="7"/>
      <c r="F116" s="7"/>
      <c r="G116" s="7"/>
      <c r="H116" s="7"/>
      <c r="J116" s="7"/>
      <c r="K116" s="7"/>
      <c r="L116" s="7"/>
    </row>
    <row r="117" spans="2:12">
      <c r="B117" s="7"/>
      <c r="C117" s="7"/>
      <c r="D117" s="7"/>
      <c r="E117" s="7"/>
      <c r="F117" s="7"/>
      <c r="G117" s="7"/>
      <c r="H117" s="7"/>
      <c r="I117" s="5"/>
      <c r="J117" s="7"/>
      <c r="K117" s="7"/>
      <c r="L117" s="7"/>
    </row>
    <row r="118" spans="2:12">
      <c r="B118" s="7"/>
      <c r="C118" s="7"/>
      <c r="D118" s="7"/>
      <c r="E118" s="7"/>
      <c r="F118" s="7"/>
      <c r="G118" s="7"/>
      <c r="H118" s="7"/>
      <c r="J118" s="7"/>
      <c r="K118" s="7"/>
      <c r="L118" s="7"/>
    </row>
    <row r="119" spans="2:12">
      <c r="B119" s="7"/>
      <c r="C119" s="7"/>
      <c r="D119" s="7"/>
      <c r="E119" s="7"/>
      <c r="F119" s="7"/>
      <c r="G119" s="7"/>
      <c r="H119" s="7"/>
      <c r="I119" s="5"/>
      <c r="J119" s="7"/>
      <c r="K119" s="7"/>
      <c r="L119" s="7"/>
    </row>
    <row r="120" spans="2:12">
      <c r="B120" s="7"/>
      <c r="C120" s="7"/>
      <c r="D120" s="7"/>
      <c r="E120" s="7"/>
      <c r="F120" s="7"/>
      <c r="G120" s="7"/>
      <c r="H120" s="7"/>
      <c r="J120" s="7"/>
      <c r="K120" s="7"/>
      <c r="L120" s="7"/>
    </row>
    <row r="121" spans="2:12">
      <c r="B121" s="7"/>
      <c r="C121" s="7"/>
      <c r="D121" s="7"/>
      <c r="E121" s="7"/>
      <c r="F121" s="7"/>
      <c r="G121" s="7"/>
      <c r="H121" s="7"/>
      <c r="I121" s="5"/>
      <c r="J121" s="7"/>
      <c r="K121" s="7"/>
      <c r="L121" s="7"/>
    </row>
    <row r="122" spans="2:12">
      <c r="B122" s="7"/>
      <c r="C122" s="7"/>
      <c r="D122" s="7"/>
      <c r="E122" s="7"/>
      <c r="F122" s="7"/>
      <c r="G122" s="7"/>
      <c r="H122" s="7"/>
      <c r="J122" s="7"/>
      <c r="K122" s="7"/>
      <c r="L122" s="7"/>
    </row>
    <row r="123" spans="2:12">
      <c r="B123" s="7"/>
      <c r="C123" s="7"/>
      <c r="D123" s="7"/>
      <c r="E123" s="7"/>
      <c r="F123" s="7"/>
      <c r="G123" s="7"/>
      <c r="H123" s="7"/>
      <c r="I123" s="5"/>
      <c r="J123" s="7"/>
      <c r="K123" s="7"/>
      <c r="L123" s="7"/>
    </row>
    <row r="124" spans="2:12">
      <c r="B124" s="7"/>
      <c r="C124" s="7"/>
      <c r="D124" s="7"/>
      <c r="E124" s="7"/>
      <c r="F124" s="7"/>
      <c r="G124" s="7"/>
      <c r="H124" s="7"/>
      <c r="J124" s="7"/>
      <c r="K124" s="7"/>
      <c r="L124" s="7"/>
    </row>
    <row r="125" spans="2:12">
      <c r="B125" s="7"/>
      <c r="C125" s="7"/>
      <c r="D125" s="7"/>
      <c r="E125" s="7"/>
      <c r="F125" s="7"/>
      <c r="G125" s="7"/>
      <c r="H125" s="7"/>
      <c r="I125" s="5"/>
      <c r="J125" s="7"/>
      <c r="K125" s="7"/>
      <c r="L125" s="7"/>
    </row>
    <row r="126" spans="2:12">
      <c r="B126" s="7"/>
      <c r="C126" s="7"/>
      <c r="D126" s="7"/>
      <c r="E126" s="7"/>
      <c r="F126" s="7"/>
      <c r="G126" s="7"/>
      <c r="H126" s="7"/>
      <c r="J126" s="7"/>
      <c r="K126" s="7"/>
      <c r="L126" s="7"/>
    </row>
    <row r="127" spans="2:12">
      <c r="B127" s="7"/>
      <c r="C127" s="7"/>
      <c r="D127" s="7"/>
      <c r="E127" s="7"/>
      <c r="F127" s="7"/>
      <c r="G127" s="7"/>
      <c r="H127" s="7"/>
      <c r="I127" s="5"/>
      <c r="J127" s="7"/>
      <c r="K127" s="7"/>
      <c r="L127" s="7"/>
    </row>
    <row r="128" spans="2:12">
      <c r="B128" s="7"/>
      <c r="C128" s="7"/>
      <c r="D128" s="7"/>
      <c r="E128" s="7"/>
      <c r="F128" s="7"/>
      <c r="G128" s="7"/>
      <c r="H128" s="7"/>
      <c r="J128" s="7"/>
      <c r="K128" s="7"/>
      <c r="L128" s="7"/>
    </row>
    <row r="129" spans="2:12">
      <c r="B129" s="7"/>
      <c r="C129" s="7"/>
      <c r="D129" s="7"/>
      <c r="E129" s="7"/>
      <c r="F129" s="7"/>
      <c r="G129" s="7"/>
      <c r="H129" s="7"/>
      <c r="I129" s="5"/>
      <c r="J129" s="7"/>
      <c r="K129" s="7"/>
      <c r="L129" s="7"/>
    </row>
    <row r="130" spans="2:12">
      <c r="B130" s="7"/>
      <c r="C130" s="7"/>
      <c r="D130" s="7"/>
      <c r="E130" s="7"/>
      <c r="F130" s="7"/>
      <c r="G130" s="7"/>
      <c r="H130" s="7"/>
      <c r="J130" s="7"/>
      <c r="K130" s="7"/>
      <c r="L130" s="7"/>
    </row>
    <row r="131" spans="2:12">
      <c r="B131" s="7"/>
      <c r="C131" s="7"/>
      <c r="D131" s="7"/>
      <c r="E131" s="7"/>
      <c r="F131" s="7"/>
      <c r="G131" s="7"/>
      <c r="H131" s="7"/>
      <c r="I131" s="5"/>
    </row>
    <row r="132" spans="2:12">
      <c r="B132" s="7"/>
      <c r="C132" s="7"/>
      <c r="D132" s="7"/>
      <c r="E132" s="7"/>
      <c r="F132" s="7"/>
      <c r="G132" s="7"/>
      <c r="H132" s="7"/>
    </row>
    <row r="133" spans="2:12">
      <c r="B133" s="7"/>
      <c r="C133" s="7"/>
      <c r="D133" s="7"/>
      <c r="E133" s="7"/>
      <c r="F133" s="7"/>
      <c r="G133" s="7"/>
      <c r="H133" s="7"/>
      <c r="I133" s="5"/>
    </row>
    <row r="134" spans="2:12">
      <c r="B134" s="7"/>
      <c r="C134" s="7"/>
      <c r="D134" s="7"/>
      <c r="E134" s="7"/>
      <c r="F134" s="7"/>
      <c r="G134" s="7"/>
      <c r="H134" s="7"/>
    </row>
    <row r="135" spans="2:12">
      <c r="B135" s="7"/>
      <c r="C135" s="7"/>
      <c r="D135" s="7"/>
      <c r="E135" s="7"/>
      <c r="F135" s="7"/>
      <c r="G135" s="7"/>
      <c r="H135" s="7"/>
      <c r="I135" s="5"/>
    </row>
    <row r="136" spans="2:12">
      <c r="B136" s="7"/>
      <c r="C136" s="7"/>
      <c r="D136" s="7"/>
      <c r="E136" s="7"/>
      <c r="F136" s="7"/>
      <c r="G136" s="7"/>
      <c r="H136" s="7"/>
    </row>
    <row r="137" spans="2:12">
      <c r="B137" s="7"/>
      <c r="C137" s="7"/>
      <c r="D137" s="7"/>
      <c r="E137" s="7"/>
      <c r="F137" s="7"/>
      <c r="G137" s="7"/>
      <c r="H137" s="7"/>
      <c r="I137" s="5"/>
    </row>
    <row r="138" spans="2:12">
      <c r="B138" s="7"/>
      <c r="C138" s="7"/>
      <c r="D138" s="7"/>
      <c r="E138" s="7"/>
      <c r="F138" s="7"/>
      <c r="G138" s="7"/>
      <c r="H138" s="7"/>
    </row>
    <row r="139" spans="2:12">
      <c r="B139" s="7"/>
      <c r="C139" s="7"/>
      <c r="D139" s="7"/>
      <c r="E139" s="7"/>
      <c r="F139" s="7"/>
      <c r="G139" s="7"/>
      <c r="H139" s="7"/>
      <c r="I139" s="5"/>
    </row>
    <row r="140" spans="2:12">
      <c r="B140" s="7"/>
      <c r="C140" s="7"/>
      <c r="D140" s="7"/>
      <c r="E140" s="7"/>
      <c r="F140" s="7"/>
      <c r="G140" s="7"/>
      <c r="H140" s="7"/>
    </row>
    <row r="141" spans="2:12">
      <c r="B141" s="7"/>
      <c r="C141" s="7"/>
      <c r="D141" s="7"/>
      <c r="E141" s="7"/>
      <c r="F141" s="7"/>
      <c r="G141" s="7"/>
      <c r="H141" s="7"/>
      <c r="I141" s="5"/>
    </row>
    <row r="142" spans="2:12">
      <c r="B142" s="7"/>
      <c r="C142" s="7"/>
      <c r="D142" s="7"/>
      <c r="E142" s="7"/>
      <c r="F142" s="7"/>
      <c r="G142" s="7"/>
      <c r="H142" s="7"/>
    </row>
    <row r="143" spans="2:12">
      <c r="B143" s="7"/>
      <c r="C143" s="7"/>
      <c r="D143" s="7"/>
      <c r="E143" s="7"/>
      <c r="F143" s="7"/>
      <c r="G143" s="7"/>
      <c r="H143" s="7"/>
      <c r="I143" s="5"/>
    </row>
    <row r="144" spans="2:12">
      <c r="B144" s="7"/>
      <c r="C144" s="7"/>
      <c r="D144" s="7"/>
      <c r="E144" s="7"/>
      <c r="F144" s="7"/>
      <c r="G144" s="7"/>
      <c r="H144" s="7"/>
    </row>
    <row r="145" spans="2:9">
      <c r="B145" s="7"/>
      <c r="C145" s="7"/>
      <c r="D145" s="7"/>
      <c r="E145" s="7"/>
      <c r="F145" s="7"/>
      <c r="G145" s="7"/>
      <c r="H145" s="7"/>
      <c r="I145" s="5"/>
    </row>
    <row r="146" spans="2:9">
      <c r="B146" s="7"/>
      <c r="C146" s="7"/>
      <c r="D146" s="7"/>
      <c r="E146" s="7"/>
      <c r="F146" s="7"/>
      <c r="G146" s="7"/>
      <c r="H146" s="7"/>
    </row>
    <row r="147" spans="2:9">
      <c r="B147" s="5"/>
      <c r="C147" s="5"/>
      <c r="D147" s="5"/>
      <c r="E147" s="5"/>
      <c r="F147" s="5"/>
      <c r="G147" s="5"/>
      <c r="H147" s="5"/>
    </row>
    <row r="148" spans="2:9">
      <c r="B148" s="5"/>
      <c r="C148" s="5"/>
      <c r="D148" s="5"/>
      <c r="E148" s="5"/>
      <c r="F148" s="5"/>
      <c r="G148" s="5"/>
      <c r="H148" s="5"/>
    </row>
    <row r="149" spans="2:9">
      <c r="B149" s="5"/>
      <c r="C149" s="5"/>
      <c r="D149" s="5"/>
      <c r="E149" s="5"/>
      <c r="F149" s="5"/>
      <c r="G149" s="5"/>
      <c r="H149" s="5"/>
    </row>
    <row r="150" spans="2:9">
      <c r="B150" s="5"/>
      <c r="C150" s="5"/>
      <c r="D150" s="5"/>
      <c r="E150" s="5"/>
      <c r="F150" s="5"/>
      <c r="G150" s="5"/>
      <c r="H150" s="5"/>
    </row>
    <row r="151" spans="2:9">
      <c r="B151" s="5"/>
      <c r="C151" s="5"/>
      <c r="D151" s="5"/>
      <c r="E151" s="5"/>
      <c r="F151" s="5"/>
      <c r="G151" s="5"/>
      <c r="H151" s="5"/>
    </row>
    <row r="152" spans="2:9">
      <c r="B152" s="5"/>
      <c r="C152" s="5"/>
      <c r="D152" s="5"/>
      <c r="E152" s="5"/>
      <c r="F152" s="5"/>
      <c r="G152" s="5"/>
      <c r="H152" s="5"/>
    </row>
    <row r="153" spans="2:9">
      <c r="B153" s="5"/>
      <c r="C153" s="5"/>
      <c r="D153" s="5"/>
      <c r="E153" s="5"/>
      <c r="F153" s="5"/>
      <c r="G153" s="5"/>
      <c r="H153" s="5"/>
    </row>
    <row r="154" spans="2:9">
      <c r="B154" s="5"/>
      <c r="C154" s="5"/>
      <c r="D154" s="5"/>
      <c r="E154" s="5"/>
      <c r="F154" s="5"/>
      <c r="G154" s="5"/>
      <c r="H154" s="5"/>
    </row>
    <row r="155" spans="2:9">
      <c r="B155" s="5"/>
      <c r="C155" s="5"/>
      <c r="D155" s="5"/>
      <c r="E155" s="5"/>
      <c r="F155" s="5"/>
      <c r="G155" s="5"/>
      <c r="H155" s="5"/>
    </row>
    <row r="156" spans="2:9">
      <c r="B156" s="5"/>
      <c r="C156" s="5"/>
      <c r="D156" s="5"/>
      <c r="E156" s="5"/>
      <c r="F156" s="5"/>
      <c r="G156" s="5"/>
      <c r="H156" s="5"/>
    </row>
    <row r="157" spans="2:9">
      <c r="B157" s="5"/>
      <c r="C157" s="5"/>
      <c r="D157" s="5"/>
      <c r="E157" s="5"/>
      <c r="F157" s="5"/>
      <c r="G157" s="5"/>
      <c r="H157" s="5"/>
    </row>
    <row r="158" spans="2:9">
      <c r="B158" s="5"/>
      <c r="C158" s="5"/>
      <c r="D158" s="5"/>
      <c r="E158" s="5"/>
      <c r="F158" s="5"/>
      <c r="G158" s="5"/>
      <c r="H158" s="5"/>
    </row>
    <row r="159" spans="2:9">
      <c r="B159" s="5"/>
      <c r="C159" s="5"/>
      <c r="D159" s="5"/>
      <c r="E159" s="5"/>
      <c r="F159" s="5"/>
      <c r="G159" s="5"/>
      <c r="H159" s="5"/>
    </row>
    <row r="160" spans="2:9">
      <c r="B160" s="5"/>
      <c r="C160" s="5"/>
      <c r="D160" s="5"/>
      <c r="E160" s="5"/>
      <c r="F160" s="5"/>
      <c r="G160" s="5"/>
      <c r="H160" s="5"/>
    </row>
    <row r="161" spans="2:8">
      <c r="B161" s="5"/>
      <c r="C161" s="5"/>
      <c r="D161" s="5"/>
      <c r="E161" s="5"/>
      <c r="F161" s="5"/>
      <c r="G161" s="5"/>
      <c r="H161" s="5"/>
    </row>
    <row r="162" spans="2:8">
      <c r="B162" s="5"/>
      <c r="C162" s="5"/>
      <c r="D162" s="5"/>
      <c r="E162" s="5"/>
      <c r="F162" s="5"/>
      <c r="G162" s="5"/>
      <c r="H162" s="5"/>
    </row>
    <row r="163" spans="2:8">
      <c r="B163" s="5"/>
      <c r="C163" s="5"/>
      <c r="D163" s="5"/>
      <c r="E163" s="5"/>
      <c r="F163" s="5"/>
      <c r="G163" s="5"/>
      <c r="H163" s="5"/>
    </row>
    <row r="164" spans="2:8">
      <c r="B164" s="5"/>
      <c r="C164" s="5"/>
      <c r="D164" s="5"/>
      <c r="E164" s="5"/>
      <c r="F164" s="5"/>
      <c r="G164" s="5"/>
      <c r="H164" s="5"/>
    </row>
    <row r="165" spans="2:8">
      <c r="B165" s="5"/>
      <c r="C165" s="5"/>
      <c r="D165" s="5"/>
      <c r="E165" s="5"/>
      <c r="F165" s="5"/>
      <c r="G165" s="5"/>
      <c r="H165" s="5"/>
    </row>
    <row r="166" spans="2:8">
      <c r="B166" s="5"/>
      <c r="C166" s="5"/>
      <c r="D166" s="5"/>
      <c r="E166" s="5"/>
      <c r="F166" s="5"/>
      <c r="G166" s="5"/>
      <c r="H166" s="5"/>
    </row>
    <row r="167" spans="2:8">
      <c r="B167" s="5"/>
      <c r="C167" s="5"/>
      <c r="D167" s="5"/>
      <c r="E167" s="5"/>
      <c r="F167" s="5"/>
      <c r="G167" s="5"/>
      <c r="H167" s="5"/>
    </row>
    <row r="168" spans="2:8">
      <c r="B168" s="5"/>
      <c r="C168" s="5"/>
      <c r="D168" s="5"/>
      <c r="E168" s="5"/>
      <c r="F168" s="5"/>
      <c r="G168" s="5"/>
      <c r="H168" s="5"/>
    </row>
    <row r="169" spans="2:8">
      <c r="B169" s="5"/>
      <c r="C169" s="5"/>
      <c r="D169" s="5"/>
      <c r="E169" s="5"/>
      <c r="F169" s="5"/>
      <c r="G169" s="5"/>
      <c r="H169" s="5"/>
    </row>
    <row r="170" spans="2:8">
      <c r="B170" s="5"/>
      <c r="C170" s="5"/>
      <c r="D170" s="5"/>
      <c r="E170" s="5"/>
      <c r="F170" s="5"/>
      <c r="G170" s="5"/>
      <c r="H170" s="5"/>
    </row>
    <row r="171" spans="2:8">
      <c r="B171" s="5"/>
      <c r="C171" s="5"/>
      <c r="D171" s="5"/>
      <c r="E171" s="5"/>
      <c r="F171" s="5"/>
      <c r="G171" s="5"/>
      <c r="H171" s="5"/>
    </row>
    <row r="172" spans="2:8">
      <c r="B172" s="5"/>
      <c r="C172" s="5"/>
      <c r="D172" s="5"/>
      <c r="E172" s="5"/>
      <c r="F172" s="5"/>
      <c r="G172" s="5"/>
      <c r="H172" s="5"/>
    </row>
    <row r="173" spans="2:8">
      <c r="B173" s="5"/>
      <c r="C173" s="5"/>
      <c r="D173" s="5"/>
      <c r="E173" s="5"/>
      <c r="F173" s="5"/>
      <c r="G173" s="5"/>
      <c r="H173" s="5"/>
    </row>
    <row r="174" spans="2:8">
      <c r="B174" s="5"/>
      <c r="C174" s="5"/>
      <c r="D174" s="5"/>
      <c r="E174" s="5"/>
      <c r="F174" s="5"/>
      <c r="G174" s="5"/>
      <c r="H174" s="5"/>
    </row>
    <row r="175" spans="2:8">
      <c r="B175" s="5"/>
      <c r="C175" s="5"/>
      <c r="D175" s="5"/>
      <c r="E175" s="5"/>
      <c r="F175" s="5"/>
      <c r="G175" s="5"/>
      <c r="H175" s="5"/>
    </row>
    <row r="176" spans="2:8">
      <c r="B176" s="5"/>
      <c r="C176" s="5"/>
      <c r="D176" s="5"/>
      <c r="E176" s="5"/>
      <c r="F176" s="5"/>
      <c r="G176" s="5"/>
      <c r="H176" s="5"/>
    </row>
    <row r="177" spans="2:8">
      <c r="B177" s="5"/>
      <c r="C177" s="5"/>
      <c r="D177" s="5"/>
      <c r="E177" s="5"/>
      <c r="F177" s="5"/>
      <c r="G177" s="5"/>
      <c r="H177" s="5"/>
    </row>
    <row r="178" spans="2:8">
      <c r="B178" s="5"/>
      <c r="C178" s="5"/>
      <c r="D178" s="5"/>
      <c r="E178" s="5"/>
      <c r="F178" s="5"/>
      <c r="G178" s="5"/>
      <c r="H17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Титульный</vt:lpstr>
      <vt:lpstr>МЭД</vt:lpstr>
      <vt:lpstr>ППР</vt:lpstr>
      <vt:lpstr>генератор</vt:lpstr>
      <vt:lpstr>генератор (2)</vt:lpstr>
      <vt:lpstr>МЭД!Заголовки_для_печати</vt:lpstr>
      <vt:lpstr>ППР!Заголовки_для_печати</vt:lpstr>
      <vt:lpstr>МЭД!Область_печати</vt:lpstr>
      <vt:lpstr>ППР!Область_печати</vt:lpstr>
      <vt:lpstr>Титульный!Область_печати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Максим Тарновский</cp:lastModifiedBy>
  <cp:lastPrinted>2026-03-19T06:29:50Z</cp:lastPrinted>
  <dcterms:created xsi:type="dcterms:W3CDTF">2015-06-05T18:19:34Z</dcterms:created>
  <dcterms:modified xsi:type="dcterms:W3CDTF">2026-03-20T05:07:12Z</dcterms:modified>
</cp:coreProperties>
</file>