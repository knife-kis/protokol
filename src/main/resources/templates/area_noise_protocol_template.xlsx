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92.168.15.200\3. Protokoly\2026\Заявка 1 К Групп\"/>
    </mc:Choice>
  </mc:AlternateContent>
  <xr:revisionPtr revIDLastSave="0" documentId="13_ncr:1_{E349D0F9-6EED-4A22-B7F0-AC75B5527E4C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Протокол " sheetId="1" r:id="rId1"/>
    <sheet name="шум " sheetId="6" r:id="rId2"/>
    <sheet name="Неопред" sheetId="8" r:id="rId3"/>
  </sheets>
  <definedNames>
    <definedName name="_xlnm.Print_Titles" localSheetId="1">'шум '!$6:$6</definedName>
    <definedName name="_xlnm.Print_Area" localSheetId="0">'Протокол '!$A$1:$Z$75</definedName>
    <definedName name="_xlnm.Print_Area" localSheetId="1">'шум '!$A$1:$W$32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8" l="1"/>
  <c r="G15" i="8" s="1"/>
  <c r="K15" i="8" s="1"/>
  <c r="L15" i="8" s="1"/>
  <c r="D17" i="8" l="1"/>
  <c r="H15" i="8"/>
  <c r="D16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...</author>
  </authors>
  <commentList>
    <comment ref="D14" authorId="0" shapeId="0" xr:uid="{00000000-0006-0000-0200-000001000000}">
      <text>
        <r>
          <rPr>
            <sz val="9"/>
            <color indexed="81"/>
            <rFont val="Tahoma"/>
            <family val="2"/>
            <charset val="204"/>
          </rPr>
          <t>±0,7 дБ (при уровне сигнала
не менее +10 дБ от нижнего предела
измерений);
±0,9 дБ (при уровне сигнала вблизи
нижнего предела измерений).</t>
        </r>
      </text>
    </comment>
  </commentList>
</comments>
</file>

<file path=xl/sharedStrings.xml><?xml version="1.0" encoding="utf-8"?>
<sst xmlns="http://schemas.openxmlformats.org/spreadsheetml/2006/main" count="279" uniqueCount="153">
  <si>
    <t>УТВЕРЖДАЮ
Заведующий лабораторией</t>
  </si>
  <si>
    <t>_______________/М.О. Тарновский/</t>
  </si>
  <si>
    <t>МП</t>
  </si>
  <si>
    <t xml:space="preserve">1. </t>
  </si>
  <si>
    <t xml:space="preserve">2. </t>
  </si>
  <si>
    <t>3.</t>
  </si>
  <si>
    <t>4.</t>
  </si>
  <si>
    <t>5.</t>
  </si>
  <si>
    <t>6.</t>
  </si>
  <si>
    <t>7.</t>
  </si>
  <si>
    <t>8.</t>
  </si>
  <si>
    <t>9.</t>
  </si>
  <si>
    <t xml:space="preserve">11. </t>
  </si>
  <si>
    <t>Сведения о средствах измерения:</t>
  </si>
  <si>
    <t>Измеряемый показатель</t>
  </si>
  <si>
    <t>Заводской номер</t>
  </si>
  <si>
    <t>Погрешность средства измерения</t>
  </si>
  <si>
    <t>Сведения о поверке (№ свидетельства, срок действия)</t>
  </si>
  <si>
    <t>Длительность интервала времени</t>
  </si>
  <si>
    <t>Секундомеры электронные, Интеграл С-01</t>
  </si>
  <si>
    <t>Основная абсолютная погрешность, при температуре 25 ± 5 (˚С):
±(9,6·10-6 ·Тx+0,01) с
Дополнительная абсолютная погрешность при отклонении температуры от нормальных условий 25 ± 5 (˚С) на 1 ˚С изменения температуры:
-(2,2·10-6·Тx) с</t>
  </si>
  <si>
    <t>Относительная влажность</t>
  </si>
  <si>
    <t>Температура окружающего воздуха</t>
  </si>
  <si>
    <t>Скорость
воздушного потока</t>
  </si>
  <si>
    <t>Атмосферное давление</t>
  </si>
  <si>
    <t>Комплект измерительный параметров микроклимата «Метеоскоп-М»</t>
  </si>
  <si>
    <t>±0,2 °C</t>
  </si>
  <si>
    <t>± 3%</t>
  </si>
  <si>
    <t>Измерение расстояний</t>
  </si>
  <si>
    <t>Дальномер лазерный ADA Cosmo 70</t>
  </si>
  <si>
    <t>±1,5 мм</t>
  </si>
  <si>
    <t>Сведения о нормативных документах (НД), регламентирующих значения показателей и НД на методы (методики) измерений:</t>
  </si>
  <si>
    <t xml:space="preserve">12. </t>
  </si>
  <si>
    <t>14.</t>
  </si>
  <si>
    <t xml:space="preserve">Сведения о дополнении, отклонении или исключении из методов: </t>
  </si>
  <si>
    <t>Измерения проводил:</t>
  </si>
  <si>
    <t>(должность, подпись, Ф.И.О.)</t>
  </si>
  <si>
    <t>Протокол подготовил:</t>
  </si>
  <si>
    <t>660064, Красноярский край, г.о. Красноярск, 
г. Красноярск, ул. Парусная, д. 8, кв. 99</t>
  </si>
  <si>
    <t>660041, Красноярский край, г. Красноярск, 
пр. Свободный дом 75, пом. 9 кабинет 12
+7 (391) 244-03-10, cit-krsk@yandex.ru</t>
  </si>
  <si>
    <r>
      <t xml:space="preserve">Испытательная лаборатория 
Общества с ограниченной ответственностью
«Центр исследовательских технологий»
</t>
    </r>
    <r>
      <rPr>
        <sz val="10"/>
        <color theme="1"/>
        <rFont val="Arial"/>
        <family val="2"/>
        <charset val="204"/>
      </rPr>
      <t>Уникальный номер записи в Реестре аккредитованных лиц RA.RU.21ОХ37 от 07.04.2023</t>
    </r>
  </si>
  <si>
    <t>-</t>
  </si>
  <si>
    <t>Эскиз (ситуационный план) места проведения измерений с указанием точек измерений:</t>
  </si>
  <si>
    <t xml:space="preserve">№ п/п
</t>
  </si>
  <si>
    <t>Место измерений</t>
  </si>
  <si>
    <t>Характер шума</t>
  </si>
  <si>
    <t>по спектру</t>
  </si>
  <si>
    <t>по временным характеристикам</t>
  </si>
  <si>
    <t>широкополосный</t>
  </si>
  <si>
    <t>тональный</t>
  </si>
  <si>
    <t>постоянный</t>
  </si>
  <si>
    <t>импульсный</t>
  </si>
  <si>
    <t>т1</t>
  </si>
  <si>
    <t>+</t>
  </si>
  <si>
    <t>т2</t>
  </si>
  <si>
    <t>Источник шума 
(тип, вид, марка, условия замера)</t>
  </si>
  <si>
    <t xml:space="preserve">Показатели, по которым проводились измерения: эквивалентный уровень звука, максимальный уровень звука.            </t>
  </si>
  <si>
    <t>Проверка калибровки шумомера</t>
  </si>
  <si>
    <t>Эквивалентный уровень звука, максимальный уровень звука</t>
  </si>
  <si>
    <t>т3</t>
  </si>
  <si>
    <t>т4</t>
  </si>
  <si>
    <t xml:space="preserve"> СанПиН 1.2.3685-21 "Гигиенические нормативы и требования к обеспечению безопасности и (или) безвредности для человека факторов среды обитания"</t>
  </si>
  <si>
    <t xml:space="preserve">Шумомер-виброметр, анализатор спектра ЭКОФИЗИКА-110А </t>
  </si>
  <si>
    <t xml:space="preserve">                                             инженер                               Белов Д.А.</t>
  </si>
  <si>
    <t>Вид испытаний: измерения физических факторов</t>
  </si>
  <si>
    <t>±(0,05+0,05V) м/с
в диапазоне от 0,1 до 1 м/с включ.
±(0,1+0,05V) м/с в диапазоне св. 1 до 20 м/с.
где V – значение измеряемой скорости, м/с</t>
  </si>
  <si>
    <t>16. Результаты измерений виброакустических факторов</t>
  </si>
  <si>
    <t>16.1. Шум:</t>
  </si>
  <si>
    <t xml:space="preserve">Уровни звукового давления (дБ) ± U (дБ) в октавных полосах частот со среднегеометрическими частотами (Гц) </t>
  </si>
  <si>
    <t>Уровни звука (дБА) 
±U (дБ)</t>
  </si>
  <si>
    <t xml:space="preserve"> Эквивалентные уровни звука,  (дБА) ±U (дБ)</t>
  </si>
  <si>
    <t xml:space="preserve">№ точки измерения </t>
  </si>
  <si>
    <t>Нормативные требования: СанПиН 1.2.3685-21 (с 07. 00 ч. до 23.00 ч.)</t>
  </si>
  <si>
    <t>Данные, предоставленные заказчиком, за которые он несет ответственность: нормативные требования в п. 16  Испытательная лаборатория не несет ответственность за данные, предоставленные заказчиком (заявление об ограничении ответственности испытательной лаборатории).</t>
  </si>
  <si>
    <t>- граница земельного участка</t>
  </si>
  <si>
    <t>Условные обозначения:</t>
  </si>
  <si>
    <t>- точки измерений</t>
  </si>
  <si>
    <t>Испытательная лаборатория несет ответственность за всю информацию, представленную в протоколе испытаний, за исключением случаев, когда информация предоставляется заказчиком.
Протокол не должен быть воспроизведен не в полном объеме без разрешения испытательной лаборатории ООО «ЦИТ».
Результаты относятся только к объектам, прошедшим испытания и предоставленным заказчиком.
Распределение экземпляров протокола испытаний: два протокола – Заказчику, один протокол – испытательной лаборатории ООО «ЦИТ».</t>
  </si>
  <si>
    <t>U(2) расш</t>
  </si>
  <si>
    <t>U(2) округл</t>
  </si>
  <si>
    <t>Uв</t>
  </si>
  <si>
    <t>Ветрощита</t>
  </si>
  <si>
    <t>Кабель</t>
  </si>
  <si>
    <t>Влажность</t>
  </si>
  <si>
    <t>Температура</t>
  </si>
  <si>
    <t>Погрешность прибора (в зав. от границы)</t>
  </si>
  <si>
    <t>Влажность 40...60%</t>
  </si>
  <si>
    <t>Влажность  30 …40 % ОВ или 60 …70 %</t>
  </si>
  <si>
    <t>Влажность 10 …30 % ОВ или 70 …90 % ОВ</t>
  </si>
  <si>
    <t>в диапазоне +15 … +30˚С</t>
  </si>
  <si>
    <t>в диапазоне +5 … +15˚С или +30 … +40˚С</t>
  </si>
  <si>
    <t>в диапазоне -10 … +5˚С или +40 … +50˚С</t>
  </si>
  <si>
    <t>ΔL</t>
  </si>
  <si>
    <t>U2</t>
  </si>
  <si>
    <t xml:space="preserve">10. </t>
  </si>
  <si>
    <t>13.</t>
  </si>
  <si>
    <t>Наименование, тип средства измерения</t>
  </si>
  <si>
    <t>Документы, наименование НД, регламентирующих значения характеристик, показателей (к сведению)</t>
  </si>
  <si>
    <t>Земельный участок</t>
  </si>
  <si>
    <t>Общество с ограниченной ответственностью «Центр исследовательских технологий» 
(ООО «ЦИТ»)</t>
  </si>
  <si>
    <t>Конец протокола испытаний</t>
  </si>
  <si>
    <t>± 0,13 кПа
(±1 мм рт.ст)</t>
  </si>
  <si>
    <t>1 класс
±0,7 дБ</t>
  </si>
  <si>
    <t>000873</t>
  </si>
  <si>
    <t>БФЛ251842</t>
  </si>
  <si>
    <t>Калибратор акустический АК-1000</t>
  </si>
  <si>
    <t>2145</t>
  </si>
  <si>
    <t>1 класс
±0,25 дБ</t>
  </si>
  <si>
    <t xml:space="preserve"> 	462667</t>
  </si>
  <si>
    <t xml:space="preserve">  С-АШ/21-05-2025/433383424 до 20.05.2026</t>
  </si>
  <si>
    <t>20 марта 2026 г.</t>
  </si>
  <si>
    <t>Протокол испытаний № 1/02.02.26-2-Ф/26</t>
  </si>
  <si>
    <t>Наименование и контактные данные заявителя (заказчика): ООО СЗ «К-ГРУПП», k_group24@mail.ru,  т. +7 (391) 232-06-89</t>
  </si>
  <si>
    <t>Юридический адрес заказчика: 660074, г. Красноярск, ул. Ленинградская, д.5 б, помещение 216</t>
  </si>
  <si>
    <t>Фактический адрес заказчика: 660074, г. Красноярск, ул. Ленинградская, д.5 б, помещение 216</t>
  </si>
  <si>
    <t>Наименование предприятия, организации, объекта, где производились измерения: «Комплекс жилых домов с инженерным обеспечением по ул. Маяковского»</t>
  </si>
  <si>
    <t>Адрес предприятия (объекта):  городской округ Красноярск, городской посёлок Берёзовка, ул. Маяковского. Земельный участок из земель населенных пунктов с кадастровым номером 24:04:6101001:21 площадью 45 853,47 кв. м.</t>
  </si>
  <si>
    <t>Основание для измерений: договор № 1 от 02.02.2026, заявка № 1/02.02.26 от 02.02.2026</t>
  </si>
  <si>
    <t>Измерения проводились в присутствии представителя заказчика: инженер Спирин Е.С.</t>
  </si>
  <si>
    <t>Регистрационный номер карты замеров: 1/02.02.26-2К</t>
  </si>
  <si>
    <t>Суммарные источники шума (в т.ч. движение авто- и железнодорожного транспорта)</t>
  </si>
  <si>
    <t>Дата, время проведения измерений 10.03.2026 c 12:00 до 16:00</t>
  </si>
  <si>
    <t>Максимальные уровни звука  (дБА) ±U (дБ)</t>
  </si>
  <si>
    <t>непостоянный</t>
  </si>
  <si>
    <t>т5</t>
  </si>
  <si>
    <t>т6</t>
  </si>
  <si>
    <t>т7</t>
  </si>
  <si>
    <t>т8</t>
  </si>
  <si>
    <t>U - значение расширенной неопределенности результата измерения, выраженное в абсолютных значениях. Указанная расширенная неопределенность измерений установлена как стандартная неопределенность измерений, умноженная на коэффициент охвата k (k=2), который соответствует вероятности охвата около 95 %.</t>
  </si>
  <si>
    <t xml:space="preserve"> С-ГЛР/02-02-2026/501012535 до 01.02.2028</t>
  </si>
  <si>
    <t>С-АШ/19-01-2026/495362001 до 18.01.2027</t>
  </si>
  <si>
    <t>С-ГУЦ/24-02-2026/507383956 до 23.02.2027</t>
  </si>
  <si>
    <t>С-ВХН/25-02-2026/506318673 до 24.02.2027</t>
  </si>
  <si>
    <t>42,7 ± 2,3</t>
  </si>
  <si>
    <t>45,2  ± 2,3</t>
  </si>
  <si>
    <t>42,5  ± 2,3</t>
  </si>
  <si>
    <t>42,1  ± 2,3</t>
  </si>
  <si>
    <t>43,3  ± 2,3</t>
  </si>
  <si>
    <t>57,6 ± 2,3</t>
  </si>
  <si>
    <t>54,1 ± 2,3</t>
  </si>
  <si>
    <t>50,7 ± 2,3</t>
  </si>
  <si>
    <t>48,2 ± 2,3</t>
  </si>
  <si>
    <t>51,4 ± 2,3</t>
  </si>
  <si>
    <t>49,8 ± 2,3</t>
  </si>
  <si>
    <t>47,7 ± 2,3</t>
  </si>
  <si>
    <t>56,2 ± 2,3</t>
  </si>
  <si>
    <t>48,4  ± 2,3</t>
  </si>
  <si>
    <t>58,5 ± 2,3</t>
  </si>
  <si>
    <t>46,9  ± 2,3</t>
  </si>
  <si>
    <t xml:space="preserve">Идентификация применяемого метода испытаний / метод (методика) измерений </t>
  </si>
  <si>
    <t>МИ Ш.13-2021 "Методика измерений шума, инфразвука, воздушного
ультразвука на рабочих местах, в том числе рабочих местах
транспорта и объектов транспортной инфраструктуры, в
помещениях жилых, общественных и производственных
зданий, на селитебной и открытой территории." п. 12.3.3 / измерение шума</t>
  </si>
  <si>
    <r>
      <t xml:space="preserve">Дополнительные сведения (характеристика объекта): Температура воздуха от + 2 </t>
    </r>
    <r>
      <rPr>
        <vertAlign val="superscript"/>
        <sz val="10"/>
        <rFont val="Arial"/>
        <family val="2"/>
        <charset val="204"/>
      </rPr>
      <t>o</t>
    </r>
    <r>
      <rPr>
        <sz val="10"/>
        <rFont val="Arial"/>
        <family val="2"/>
        <charset val="204"/>
      </rPr>
      <t xml:space="preserve">С до + 5 </t>
    </r>
    <r>
      <rPr>
        <vertAlign val="superscript"/>
        <sz val="10"/>
        <rFont val="Arial"/>
        <family val="2"/>
        <charset val="204"/>
      </rPr>
      <t>o</t>
    </r>
    <r>
      <rPr>
        <sz val="10"/>
        <rFont val="Arial"/>
        <family val="2"/>
        <charset val="204"/>
      </rPr>
      <t>С, относительная влажность от 55 % до 66 %, атмосферное давление 730 мм рт. ст., скорость движения ветра от 1,1 м/с до 1,3 м/с, без осадков. Эскиз предоставлен заказчиком. При измерениях на объекте заказчик самостоятельно определяет расположение точек в сооветствии с эскизом.</t>
    </r>
  </si>
  <si>
    <t>T1, T2…T8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</si>
</sst>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sz val="8"/>
      <name val="Calibri"/>
      <family val="2"/>
      <scheme val="minor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9"/>
      <name val="Arial"/>
      <family val="2"/>
      <charset val="204"/>
    </font>
    <font>
      <u/>
      <sz val="10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perscript"/>
      <sz val="10"/>
      <name val="Arial"/>
      <family val="2"/>
      <charset val="204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105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2" fontId="0" fillId="0" borderId="0" xfId="0" applyNumberFormat="1"/>
    <xf numFmtId="0" fontId="9" fillId="0" borderId="0" xfId="0" applyFont="1"/>
    <xf numFmtId="0" fontId="2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7" fillId="0" borderId="0" xfId="1"/>
    <xf numFmtId="0" fontId="7" fillId="0" borderId="0" xfId="2"/>
    <xf numFmtId="0" fontId="7" fillId="0" borderId="1" xfId="2" applyBorder="1" applyAlignment="1">
      <alignment horizontal="center" vertical="center"/>
    </xf>
    <xf numFmtId="0" fontId="4" fillId="0" borderId="11" xfId="0" applyFont="1" applyBorder="1"/>
    <xf numFmtId="0" fontId="0" fillId="0" borderId="0" xfId="0" applyAlignment="1">
      <alignment horizontal="center" vertical="center" wrapText="1"/>
    </xf>
    <xf numFmtId="0" fontId="12" fillId="0" borderId="11" xfId="0" applyFont="1" applyBorder="1"/>
    <xf numFmtId="0" fontId="7" fillId="0" borderId="1" xfId="2" applyBorder="1" applyAlignment="1">
      <alignment horizontal="center" vertical="center" textRotation="90" wrapText="1"/>
    </xf>
    <xf numFmtId="0" fontId="7" fillId="0" borderId="1" xfId="2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13" xfId="2" applyFont="1" applyBorder="1" applyAlignment="1">
      <alignment horizontal="center" vertical="center"/>
    </xf>
    <xf numFmtId="0" fontId="0" fillId="0" borderId="11" xfId="0" applyBorder="1"/>
    <xf numFmtId="0" fontId="15" fillId="0" borderId="0" xfId="0" applyFont="1"/>
    <xf numFmtId="0" fontId="0" fillId="2" borderId="0" xfId="0" applyFill="1"/>
    <xf numFmtId="0" fontId="0" fillId="3" borderId="0" xfId="0" applyFill="1"/>
    <xf numFmtId="165" fontId="0" fillId="3" borderId="0" xfId="0" applyNumberFormat="1" applyFill="1"/>
    <xf numFmtId="0" fontId="16" fillId="3" borderId="0" xfId="0" applyFont="1" applyFill="1"/>
    <xf numFmtId="0" fontId="0" fillId="2" borderId="16" xfId="0" applyFill="1" applyBorder="1"/>
    <xf numFmtId="164" fontId="13" fillId="0" borderId="1" xfId="2" applyNumberFormat="1" applyFont="1" applyFill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center" vertical="center"/>
    </xf>
    <xf numFmtId="0" fontId="4" fillId="0" borderId="0" xfId="0" applyFont="1" applyAlignment="1">
      <alignment vertical="top" wrapText="1"/>
    </xf>
    <xf numFmtId="0" fontId="11" fillId="0" borderId="1" xfId="2" applyFont="1" applyFill="1" applyBorder="1" applyAlignment="1">
      <alignment horizontal="center" vertical="center" textRotation="90" wrapText="1"/>
    </xf>
    <xf numFmtId="0" fontId="7" fillId="0" borderId="1" xfId="2" applyFill="1" applyBorder="1" applyAlignment="1">
      <alignment horizontal="center" vertical="center" textRotation="90" wrapText="1"/>
    </xf>
    <xf numFmtId="0" fontId="0" fillId="0" borderId="0" xfId="0" applyFill="1"/>
    <xf numFmtId="0" fontId="4" fillId="0" borderId="0" xfId="0" applyFont="1" applyFill="1"/>
    <xf numFmtId="49" fontId="4" fillId="0" borderId="0" xfId="0" applyNumberFormat="1" applyFont="1" applyFill="1"/>
    <xf numFmtId="0" fontId="14" fillId="0" borderId="0" xfId="2" applyFont="1" applyFill="1" applyBorder="1" applyAlignment="1">
      <alignment horizontal="left" vertical="center" wrapText="1"/>
    </xf>
    <xf numFmtId="0" fontId="14" fillId="0" borderId="0" xfId="2" applyFont="1" applyFill="1" applyBorder="1" applyAlignment="1">
      <alignment horizontal="center" vertical="center"/>
    </xf>
    <xf numFmtId="0" fontId="13" fillId="0" borderId="13" xfId="2" applyFont="1" applyBorder="1" applyAlignment="1">
      <alignment horizontal="center" vertical="center" wrapText="1"/>
    </xf>
    <xf numFmtId="0" fontId="1" fillId="0" borderId="0" xfId="0" applyFont="1"/>
    <xf numFmtId="0" fontId="7" fillId="0" borderId="0" xfId="0" applyFont="1" applyFill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10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164" fontId="13" fillId="0" borderId="7" xfId="2" applyNumberFormat="1" applyFont="1" applyFill="1" applyBorder="1" applyAlignment="1">
      <alignment horizontal="center" vertical="center" wrapText="1"/>
    </xf>
    <xf numFmtId="164" fontId="13" fillId="0" borderId="8" xfId="2" applyNumberFormat="1" applyFont="1" applyFill="1" applyBorder="1" applyAlignment="1">
      <alignment horizontal="center" vertical="center" wrapText="1"/>
    </xf>
    <xf numFmtId="164" fontId="13" fillId="0" borderId="9" xfId="2" applyNumberFormat="1" applyFont="1" applyFill="1" applyBorder="1" applyAlignment="1">
      <alignment horizontal="center" vertical="center" wrapText="1"/>
    </xf>
    <xf numFmtId="0" fontId="14" fillId="0" borderId="1" xfId="2" applyFont="1" applyFill="1" applyBorder="1" applyAlignment="1">
      <alignment horizontal="left" vertical="center" wrapText="1"/>
    </xf>
    <xf numFmtId="0" fontId="14" fillId="0" borderId="7" xfId="2" applyFont="1" applyFill="1" applyBorder="1" applyAlignment="1">
      <alignment horizontal="center" vertical="center"/>
    </xf>
    <xf numFmtId="0" fontId="14" fillId="0" borderId="8" xfId="2" applyFont="1" applyFill="1" applyBorder="1" applyAlignment="1">
      <alignment horizontal="center" vertical="center"/>
    </xf>
    <xf numFmtId="0" fontId="14" fillId="0" borderId="9" xfId="2" applyFont="1" applyFill="1" applyBorder="1" applyAlignment="1">
      <alignment horizontal="center" vertical="center"/>
    </xf>
    <xf numFmtId="0" fontId="13" fillId="0" borderId="13" xfId="2" applyFont="1" applyBorder="1" applyAlignment="1">
      <alignment horizontal="center" vertical="center" wrapText="1"/>
    </xf>
    <xf numFmtId="0" fontId="13" fillId="0" borderId="14" xfId="2" applyFont="1" applyBorder="1" applyAlignment="1">
      <alignment horizontal="center" vertical="center" wrapText="1"/>
    </xf>
    <xf numFmtId="0" fontId="13" fillId="0" borderId="15" xfId="2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7" fillId="0" borderId="0" xfId="2" applyFont="1" applyFill="1" applyBorder="1" applyAlignment="1">
      <alignment horizontal="left" vertical="top" wrapText="1"/>
    </xf>
    <xf numFmtId="0" fontId="7" fillId="0" borderId="7" xfId="2" applyFill="1" applyBorder="1" applyAlignment="1">
      <alignment horizontal="center" vertical="center" wrapText="1"/>
    </xf>
    <xf numFmtId="0" fontId="7" fillId="0" borderId="8" xfId="2" applyFill="1" applyBorder="1" applyAlignment="1">
      <alignment horizontal="center" vertical="center" wrapText="1"/>
    </xf>
    <xf numFmtId="0" fontId="7" fillId="0" borderId="9" xfId="2" applyFill="1" applyBorder="1" applyAlignment="1">
      <alignment horizontal="center" vertical="center" wrapText="1"/>
    </xf>
    <xf numFmtId="0" fontId="13" fillId="0" borderId="7" xfId="2" applyFont="1" applyFill="1" applyBorder="1" applyAlignment="1">
      <alignment horizontal="center" vertical="center" wrapText="1"/>
    </xf>
    <xf numFmtId="0" fontId="13" fillId="0" borderId="8" xfId="2" applyFont="1" applyFill="1" applyBorder="1" applyAlignment="1">
      <alignment horizontal="center" vertical="center" wrapText="1"/>
    </xf>
    <xf numFmtId="0" fontId="13" fillId="0" borderId="9" xfId="2" applyFont="1" applyFill="1" applyBorder="1" applyAlignment="1">
      <alignment horizontal="center" vertical="center" wrapText="1"/>
    </xf>
    <xf numFmtId="0" fontId="7" fillId="0" borderId="7" xfId="2" applyFont="1" applyFill="1" applyBorder="1" applyAlignment="1">
      <alignment horizontal="center"/>
    </xf>
    <xf numFmtId="0" fontId="7" fillId="0" borderId="8" xfId="2" applyFont="1" applyFill="1" applyBorder="1" applyAlignment="1">
      <alignment horizontal="center"/>
    </xf>
    <xf numFmtId="0" fontId="7" fillId="0" borderId="2" xfId="2" applyFont="1" applyFill="1" applyBorder="1" applyAlignment="1">
      <alignment horizontal="center"/>
    </xf>
    <xf numFmtId="0" fontId="7" fillId="0" borderId="9" xfId="2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textRotation="90" wrapText="1"/>
    </xf>
    <xf numFmtId="0" fontId="7" fillId="0" borderId="3" xfId="2" applyFont="1" applyBorder="1" applyAlignment="1">
      <alignment horizontal="center" vertical="center" textRotation="90" wrapText="1"/>
    </xf>
    <xf numFmtId="0" fontId="7" fillId="0" borderId="2" xfId="2" applyFont="1" applyBorder="1" applyAlignment="1">
      <alignment horizontal="center" vertical="center" textRotation="90" wrapText="1"/>
    </xf>
    <xf numFmtId="0" fontId="7" fillId="0" borderId="4" xfId="2" applyFont="1" applyBorder="1" applyAlignment="1">
      <alignment horizontal="center" vertical="center" textRotation="90" wrapText="1"/>
    </xf>
    <xf numFmtId="0" fontId="7" fillId="0" borderId="5" xfId="2" applyFont="1" applyBorder="1" applyAlignment="1">
      <alignment horizontal="center" vertical="center" textRotation="90" wrapText="1"/>
    </xf>
    <xf numFmtId="0" fontId="7" fillId="0" borderId="0" xfId="2" applyFont="1" applyBorder="1" applyAlignment="1">
      <alignment horizontal="center" vertical="center" textRotation="90" wrapText="1"/>
    </xf>
    <xf numFmtId="0" fontId="7" fillId="0" borderId="6" xfId="2" applyFont="1" applyBorder="1" applyAlignment="1">
      <alignment horizontal="center" vertical="center" textRotation="90" wrapText="1"/>
    </xf>
    <xf numFmtId="0" fontId="7" fillId="0" borderId="10" xfId="2" applyFont="1" applyBorder="1" applyAlignment="1">
      <alignment horizontal="center" vertical="center" textRotation="90" wrapText="1"/>
    </xf>
    <xf numFmtId="0" fontId="7" fillId="0" borderId="11" xfId="2" applyFont="1" applyBorder="1" applyAlignment="1">
      <alignment horizontal="center" vertical="center" textRotation="90" wrapText="1"/>
    </xf>
    <xf numFmtId="0" fontId="7" fillId="0" borderId="12" xfId="2" applyFont="1" applyBorder="1" applyAlignment="1">
      <alignment horizontal="center" vertical="center" textRotation="90" wrapText="1"/>
    </xf>
    <xf numFmtId="0" fontId="7" fillId="0" borderId="1" xfId="2" applyFont="1" applyBorder="1" applyAlignment="1">
      <alignment horizontal="center" vertical="center" textRotation="90" wrapText="1"/>
    </xf>
    <xf numFmtId="0" fontId="13" fillId="0" borderId="1" xfId="2" applyFont="1" applyFill="1" applyBorder="1" applyAlignment="1">
      <alignment horizontal="center" vertical="center" wrapText="1"/>
    </xf>
    <xf numFmtId="0" fontId="7" fillId="0" borderId="7" xfId="2" applyBorder="1" applyAlignment="1">
      <alignment horizontal="center" vertical="center"/>
    </xf>
    <xf numFmtId="0" fontId="7" fillId="0" borderId="8" xfId="2" applyBorder="1" applyAlignment="1">
      <alignment horizontal="center" vertical="center"/>
    </xf>
    <xf numFmtId="0" fontId="7" fillId="0" borderId="9" xfId="2" applyBorder="1" applyAlignment="1">
      <alignment horizontal="center" vertical="center"/>
    </xf>
    <xf numFmtId="0" fontId="7" fillId="0" borderId="1" xfId="2" applyBorder="1" applyAlignment="1">
      <alignment horizontal="justify" vertical="center" textRotation="90" wrapText="1"/>
    </xf>
    <xf numFmtId="0" fontId="11" fillId="0" borderId="1" xfId="2" applyFont="1" applyFill="1" applyBorder="1" applyAlignment="1">
      <alignment horizontal="center" vertical="center" textRotation="90" wrapText="1"/>
    </xf>
    <xf numFmtId="0" fontId="7" fillId="0" borderId="1" xfId="2" applyBorder="1" applyAlignment="1">
      <alignment horizontal="center" vertical="center" wrapText="1"/>
    </xf>
    <xf numFmtId="0" fontId="7" fillId="0" borderId="1" xfId="2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Обычный" xfId="0" builtinId="0"/>
    <cellStyle name="Обычный_дом ООО Стройтехника, Алексеева,103 2" xfId="1" xr:uid="{00000000-0005-0000-0000-000001000000}"/>
    <cellStyle name="Обычный_дом ООО Стройтехника, Алексеева,103_200_Дом_1п _ООО СК_Сиблидер,мкр.,осв,эми пр.ч.,шум.,рад.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265"/>
  <sheetViews>
    <sheetView tabSelected="1" view="pageBreakPreview" topLeftCell="A55" zoomScale="145" zoomScaleNormal="100" zoomScaleSheetLayoutView="145" zoomScalePageLayoutView="130" workbookViewId="0">
      <selection activeCell="Q70" sqref="Q70"/>
    </sheetView>
  </sheetViews>
  <sheetFormatPr defaultRowHeight="15" x14ac:dyDescent="0.25"/>
  <cols>
    <col min="1" max="25" width="5" customWidth="1"/>
    <col min="26" max="26" width="8.140625" customWidth="1"/>
    <col min="27" max="27" width="5" customWidth="1"/>
    <col min="28" max="167" width="4.5703125" customWidth="1"/>
  </cols>
  <sheetData>
    <row r="1" spans="1:26" ht="15" customHeight="1" x14ac:dyDescent="0.25">
      <c r="A1" s="42" t="s">
        <v>99</v>
      </c>
      <c r="B1" s="42"/>
      <c r="C1" s="42"/>
      <c r="D1" s="42"/>
      <c r="E1" s="42"/>
      <c r="F1" s="42"/>
      <c r="G1" s="42"/>
      <c r="H1" s="42"/>
      <c r="I1" s="42"/>
      <c r="S1" s="46" t="s">
        <v>0</v>
      </c>
      <c r="T1" s="47"/>
      <c r="U1" s="47"/>
      <c r="V1" s="47"/>
      <c r="W1" s="47"/>
      <c r="X1" s="47"/>
      <c r="Y1" s="47"/>
      <c r="Z1" s="47"/>
    </row>
    <row r="2" spans="1:26" ht="15.75" customHeight="1" x14ac:dyDescent="0.25">
      <c r="A2" s="42"/>
      <c r="B2" s="42"/>
      <c r="C2" s="42"/>
      <c r="D2" s="42"/>
      <c r="E2" s="42"/>
      <c r="F2" s="42"/>
      <c r="G2" s="42"/>
      <c r="H2" s="42"/>
      <c r="I2" s="42"/>
      <c r="S2" s="47"/>
      <c r="T2" s="47"/>
      <c r="U2" s="47"/>
      <c r="V2" s="47"/>
      <c r="W2" s="47"/>
      <c r="X2" s="47"/>
      <c r="Y2" s="47"/>
      <c r="Z2" s="47"/>
    </row>
    <row r="3" spans="1:26" ht="7.5" customHeight="1" x14ac:dyDescent="0.25">
      <c r="A3" s="42"/>
      <c r="B3" s="42"/>
      <c r="C3" s="42"/>
      <c r="D3" s="42"/>
      <c r="E3" s="42"/>
      <c r="F3" s="42"/>
      <c r="G3" s="42"/>
      <c r="H3" s="42"/>
      <c r="I3" s="42"/>
      <c r="S3" s="47"/>
      <c r="T3" s="47"/>
      <c r="U3" s="47"/>
      <c r="V3" s="47"/>
      <c r="W3" s="47"/>
      <c r="X3" s="47"/>
      <c r="Y3" s="47"/>
      <c r="Z3" s="47"/>
    </row>
    <row r="4" spans="1:26" x14ac:dyDescent="0.25">
      <c r="A4" s="43" t="s">
        <v>38</v>
      </c>
      <c r="B4" s="43"/>
      <c r="C4" s="43"/>
      <c r="D4" s="43"/>
      <c r="E4" s="43"/>
      <c r="F4" s="43"/>
      <c r="G4" s="43"/>
      <c r="H4" s="43"/>
      <c r="I4" s="43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5">
      <c r="A5" s="43"/>
      <c r="B5" s="43"/>
      <c r="C5" s="43"/>
      <c r="D5" s="43"/>
      <c r="E5" s="43"/>
      <c r="F5" s="43"/>
      <c r="G5" s="43"/>
      <c r="H5" s="43"/>
      <c r="I5" s="43"/>
      <c r="S5" s="47" t="s">
        <v>1</v>
      </c>
      <c r="T5" s="47"/>
      <c r="U5" s="47"/>
      <c r="V5" s="47"/>
      <c r="W5" s="47"/>
      <c r="X5" s="47"/>
      <c r="Y5" s="47"/>
      <c r="Z5" s="47"/>
    </row>
    <row r="6" spans="1:26" x14ac:dyDescent="0.25">
      <c r="A6" s="42" t="s">
        <v>40</v>
      </c>
      <c r="B6" s="44"/>
      <c r="C6" s="44"/>
      <c r="D6" s="44"/>
      <c r="E6" s="44"/>
      <c r="F6" s="44"/>
      <c r="G6" s="44"/>
      <c r="H6" s="44"/>
      <c r="I6" s="4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4"/>
      <c r="B7" s="44"/>
      <c r="C7" s="44"/>
      <c r="D7" s="44"/>
      <c r="E7" s="44"/>
      <c r="F7" s="44"/>
      <c r="G7" s="44"/>
      <c r="H7" s="44"/>
      <c r="I7" s="44"/>
      <c r="S7" s="48" t="s">
        <v>110</v>
      </c>
      <c r="T7" s="48"/>
      <c r="U7" s="48"/>
      <c r="V7" s="48"/>
      <c r="W7" s="48"/>
      <c r="X7" s="48"/>
      <c r="Y7" s="48"/>
      <c r="Z7" s="48"/>
    </row>
    <row r="8" spans="1:26" ht="35.25" customHeight="1" x14ac:dyDescent="0.25">
      <c r="A8" s="44"/>
      <c r="B8" s="44"/>
      <c r="C8" s="44"/>
      <c r="D8" s="44"/>
      <c r="E8" s="44"/>
      <c r="F8" s="44"/>
      <c r="G8" s="44"/>
      <c r="H8" s="44"/>
      <c r="I8" s="44"/>
      <c r="S8" s="4"/>
      <c r="T8" s="4"/>
      <c r="U8" s="4"/>
      <c r="V8" s="4"/>
      <c r="W8" s="4"/>
      <c r="X8" s="4"/>
      <c r="Y8" s="4"/>
      <c r="Z8" s="4"/>
    </row>
    <row r="9" spans="1:26" ht="15" customHeight="1" x14ac:dyDescent="0.25">
      <c r="A9" s="45" t="s">
        <v>39</v>
      </c>
      <c r="B9" s="45"/>
      <c r="C9" s="45"/>
      <c r="D9" s="45"/>
      <c r="E9" s="45"/>
      <c r="F9" s="45"/>
      <c r="G9" s="45"/>
      <c r="H9" s="45"/>
      <c r="I9" s="45"/>
      <c r="S9" s="48" t="s">
        <v>2</v>
      </c>
      <c r="T9" s="48"/>
      <c r="U9" s="48"/>
      <c r="V9" s="48"/>
      <c r="W9" s="48"/>
      <c r="X9" s="48"/>
      <c r="Y9" s="48"/>
      <c r="Z9" s="48"/>
    </row>
    <row r="10" spans="1:26" x14ac:dyDescent="0.25">
      <c r="A10" s="45"/>
      <c r="B10" s="45"/>
      <c r="C10" s="45"/>
      <c r="D10" s="45"/>
      <c r="E10" s="45"/>
      <c r="F10" s="45"/>
      <c r="G10" s="45"/>
      <c r="H10" s="45"/>
      <c r="I10" s="45"/>
    </row>
    <row r="11" spans="1:26" ht="14.25" customHeight="1" x14ac:dyDescent="0.25">
      <c r="A11" s="45"/>
      <c r="B11" s="45"/>
      <c r="C11" s="45"/>
      <c r="D11" s="45"/>
      <c r="E11" s="45"/>
      <c r="F11" s="45"/>
      <c r="G11" s="45"/>
      <c r="H11" s="45"/>
      <c r="I11" s="45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48" t="s">
        <v>111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spans="1:26" x14ac:dyDescent="0.25">
      <c r="A14" s="41" t="s">
        <v>64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x14ac:dyDescent="0.25">
      <c r="A15" s="1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7" t="s">
        <v>3</v>
      </c>
      <c r="B16" s="49" t="s">
        <v>112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 ht="6.7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5">
      <c r="A18" s="7" t="s">
        <v>4</v>
      </c>
      <c r="B18" s="50" t="s">
        <v>113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spans="1:26" ht="6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5">
      <c r="A20" s="7" t="s">
        <v>5</v>
      </c>
      <c r="B20" s="50" t="s">
        <v>114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spans="1:26" ht="6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6.25" customHeight="1" x14ac:dyDescent="0.25">
      <c r="A22" s="7" t="s">
        <v>6</v>
      </c>
      <c r="B22" s="52" t="s">
        <v>115</v>
      </c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6.75" customHeight="1" x14ac:dyDescent="0.25">
      <c r="A23" s="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28.5" customHeight="1" x14ac:dyDescent="0.25">
      <c r="A24" s="7" t="s">
        <v>7</v>
      </c>
      <c r="B24" s="51" t="s">
        <v>116</v>
      </c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6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5">
      <c r="A26" s="7" t="s">
        <v>8</v>
      </c>
      <c r="B26" s="50" t="s">
        <v>117</v>
      </c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spans="1:26" ht="6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customHeight="1" x14ac:dyDescent="0.25">
      <c r="A28" s="7" t="s">
        <v>9</v>
      </c>
      <c r="B28" s="56" t="s">
        <v>118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spans="1:26" ht="6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customHeight="1" x14ac:dyDescent="0.25">
      <c r="A30" s="7" t="s">
        <v>10</v>
      </c>
      <c r="B30" s="52" t="s">
        <v>56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spans="1:26" ht="6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7" t="s">
        <v>11</v>
      </c>
      <c r="B32" s="50" t="s">
        <v>119</v>
      </c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7" spans="1:26" x14ac:dyDescent="0.25">
      <c r="A37" s="1" t="s">
        <v>94</v>
      </c>
      <c r="B37" s="1" t="s">
        <v>13</v>
      </c>
      <c r="C37" s="1"/>
      <c r="D37" s="1"/>
      <c r="E37" s="1"/>
      <c r="F37" s="1"/>
      <c r="G37" s="1"/>
      <c r="H37" s="1"/>
    </row>
    <row r="38" spans="1:26" ht="7.5" customHeight="1" x14ac:dyDescent="0.25"/>
    <row r="39" spans="1:26" ht="36.75" customHeight="1" x14ac:dyDescent="0.25">
      <c r="A39" s="39" t="s">
        <v>14</v>
      </c>
      <c r="B39" s="39"/>
      <c r="C39" s="39"/>
      <c r="D39" s="39"/>
      <c r="E39" s="39" t="s">
        <v>96</v>
      </c>
      <c r="F39" s="39"/>
      <c r="G39" s="39"/>
      <c r="H39" s="39"/>
      <c r="I39" s="39"/>
      <c r="J39" s="39"/>
      <c r="K39" s="39" t="s">
        <v>15</v>
      </c>
      <c r="L39" s="39"/>
      <c r="M39" s="39"/>
      <c r="N39" s="39" t="s">
        <v>16</v>
      </c>
      <c r="O39" s="39"/>
      <c r="P39" s="39"/>
      <c r="Q39" s="39"/>
      <c r="R39" s="39"/>
      <c r="S39" s="39"/>
      <c r="T39" s="39"/>
      <c r="U39" s="39" t="s">
        <v>17</v>
      </c>
      <c r="V39" s="39"/>
      <c r="W39" s="39"/>
      <c r="X39" s="39"/>
      <c r="Y39" s="39"/>
      <c r="Z39" s="39"/>
    </row>
    <row r="40" spans="1:26" ht="90" customHeight="1" x14ac:dyDescent="0.25">
      <c r="A40" s="40" t="s">
        <v>18</v>
      </c>
      <c r="B40" s="40"/>
      <c r="C40" s="40"/>
      <c r="D40" s="40"/>
      <c r="E40" s="40" t="s">
        <v>19</v>
      </c>
      <c r="F40" s="40"/>
      <c r="G40" s="40"/>
      <c r="H40" s="40"/>
      <c r="I40" s="40"/>
      <c r="J40" s="40"/>
      <c r="K40" s="53" t="s">
        <v>108</v>
      </c>
      <c r="L40" s="54"/>
      <c r="M40" s="55"/>
      <c r="N40" s="53" t="s">
        <v>20</v>
      </c>
      <c r="O40" s="54"/>
      <c r="P40" s="54"/>
      <c r="Q40" s="54"/>
      <c r="R40" s="54"/>
      <c r="S40" s="54"/>
      <c r="T40" s="55"/>
      <c r="U40" s="53" t="s">
        <v>109</v>
      </c>
      <c r="V40" s="54"/>
      <c r="W40" s="54"/>
      <c r="X40" s="54"/>
      <c r="Y40" s="54"/>
      <c r="Z40" s="55"/>
    </row>
    <row r="41" spans="1:26" ht="24.75" customHeight="1" x14ac:dyDescent="0.25">
      <c r="A41" s="40" t="s">
        <v>22</v>
      </c>
      <c r="B41" s="40"/>
      <c r="C41" s="40"/>
      <c r="D41" s="40"/>
      <c r="E41" s="40" t="s">
        <v>25</v>
      </c>
      <c r="F41" s="40"/>
      <c r="G41" s="40"/>
      <c r="H41" s="40"/>
      <c r="I41" s="40"/>
      <c r="J41" s="40"/>
      <c r="K41" s="40">
        <v>569521</v>
      </c>
      <c r="L41" s="40"/>
      <c r="M41" s="40"/>
      <c r="N41" s="40" t="s">
        <v>26</v>
      </c>
      <c r="O41" s="40"/>
      <c r="P41" s="40"/>
      <c r="Q41" s="40"/>
      <c r="R41" s="40"/>
      <c r="S41" s="40"/>
      <c r="T41" s="40"/>
      <c r="U41" s="40" t="s">
        <v>129</v>
      </c>
      <c r="V41" s="40"/>
      <c r="W41" s="40"/>
      <c r="X41" s="40"/>
      <c r="Y41" s="40"/>
      <c r="Z41" s="40"/>
    </row>
    <row r="42" spans="1:26" ht="22.5" customHeight="1" x14ac:dyDescent="0.25">
      <c r="A42" s="40" t="s">
        <v>21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 t="s">
        <v>27</v>
      </c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50.25" customHeight="1" x14ac:dyDescent="0.25">
      <c r="A43" s="40" t="s">
        <v>23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 t="s">
        <v>65</v>
      </c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7.75" customHeight="1" x14ac:dyDescent="0.25">
      <c r="A44" s="40" t="s">
        <v>24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 t="s">
        <v>101</v>
      </c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26.25" customHeight="1" x14ac:dyDescent="0.25">
      <c r="A45" s="40" t="s">
        <v>28</v>
      </c>
      <c r="B45" s="40"/>
      <c r="C45" s="40"/>
      <c r="D45" s="40"/>
      <c r="E45" s="40" t="s">
        <v>29</v>
      </c>
      <c r="F45" s="40"/>
      <c r="G45" s="40"/>
      <c r="H45" s="40"/>
      <c r="I45" s="40"/>
      <c r="J45" s="40"/>
      <c r="K45" s="57" t="s">
        <v>103</v>
      </c>
      <c r="L45" s="57"/>
      <c r="M45" s="57"/>
      <c r="N45" s="40" t="s">
        <v>30</v>
      </c>
      <c r="O45" s="40"/>
      <c r="P45" s="40"/>
      <c r="Q45" s="40"/>
      <c r="R45" s="40"/>
      <c r="S45" s="40"/>
      <c r="T45" s="40"/>
      <c r="U45" s="58" t="s">
        <v>130</v>
      </c>
      <c r="V45" s="58"/>
      <c r="W45" s="58"/>
      <c r="X45" s="58"/>
      <c r="Y45" s="58"/>
      <c r="Z45" s="58"/>
    </row>
    <row r="46" spans="1:26" ht="57.75" customHeight="1" x14ac:dyDescent="0.25">
      <c r="A46" s="40" t="s">
        <v>58</v>
      </c>
      <c r="B46" s="40"/>
      <c r="C46" s="40"/>
      <c r="D46" s="40"/>
      <c r="E46" s="40" t="s">
        <v>62</v>
      </c>
      <c r="F46" s="40"/>
      <c r="G46" s="40"/>
      <c r="H46" s="40"/>
      <c r="I46" s="40"/>
      <c r="J46" s="40"/>
      <c r="K46" s="59" t="s">
        <v>104</v>
      </c>
      <c r="L46" s="59"/>
      <c r="M46" s="59"/>
      <c r="N46" s="40" t="s">
        <v>102</v>
      </c>
      <c r="O46" s="40"/>
      <c r="P46" s="40"/>
      <c r="Q46" s="40"/>
      <c r="R46" s="40"/>
      <c r="S46" s="40"/>
      <c r="T46" s="40"/>
      <c r="U46" s="40" t="s">
        <v>131</v>
      </c>
      <c r="V46" s="40"/>
      <c r="W46" s="40"/>
      <c r="X46" s="40"/>
      <c r="Y46" s="40"/>
      <c r="Z46" s="40"/>
    </row>
    <row r="47" spans="1:26" ht="35.25" customHeight="1" x14ac:dyDescent="0.25">
      <c r="A47" s="40" t="s">
        <v>57</v>
      </c>
      <c r="B47" s="40"/>
      <c r="C47" s="40"/>
      <c r="D47" s="40"/>
      <c r="E47" s="40" t="s">
        <v>105</v>
      </c>
      <c r="F47" s="40"/>
      <c r="G47" s="40"/>
      <c r="H47" s="40"/>
      <c r="I47" s="40"/>
      <c r="J47" s="40"/>
      <c r="K47" s="59" t="s">
        <v>106</v>
      </c>
      <c r="L47" s="59"/>
      <c r="M47" s="59"/>
      <c r="N47" s="40" t="s">
        <v>107</v>
      </c>
      <c r="O47" s="40"/>
      <c r="P47" s="40"/>
      <c r="Q47" s="40"/>
      <c r="R47" s="40"/>
      <c r="S47" s="40"/>
      <c r="T47" s="40"/>
      <c r="U47" s="58" t="s">
        <v>132</v>
      </c>
      <c r="V47" s="58"/>
      <c r="W47" s="58"/>
      <c r="X47" s="58"/>
      <c r="Y47" s="58"/>
      <c r="Z47" s="58"/>
    </row>
    <row r="48" spans="1:26" x14ac:dyDescent="0.25">
      <c r="A48" s="12"/>
      <c r="B48" s="12"/>
      <c r="C48" s="12"/>
      <c r="D48" s="12"/>
    </row>
    <row r="49" spans="1:255" x14ac:dyDescent="0.25">
      <c r="A49" s="12"/>
      <c r="B49" s="12"/>
      <c r="C49" s="12"/>
      <c r="D49" s="12"/>
    </row>
    <row r="50" spans="1:255" x14ac:dyDescent="0.25">
      <c r="A50" s="12"/>
      <c r="B50" s="12"/>
      <c r="C50" s="12"/>
      <c r="D50" s="12"/>
    </row>
    <row r="51" spans="1:255" s="1" customFormat="1" ht="12.75" x14ac:dyDescent="0.2">
      <c r="A51" s="1" t="s">
        <v>12</v>
      </c>
      <c r="B51" s="1" t="s">
        <v>31</v>
      </c>
    </row>
    <row r="52" spans="1:255" s="1" customFormat="1" ht="7.5" customHeight="1" x14ac:dyDescent="0.2"/>
    <row r="53" spans="1:255" s="1" customFormat="1" ht="40.5" customHeight="1" x14ac:dyDescent="0.2">
      <c r="A53" s="39" t="s">
        <v>14</v>
      </c>
      <c r="B53" s="39"/>
      <c r="C53" s="39"/>
      <c r="D53" s="39"/>
      <c r="E53" s="39"/>
      <c r="F53" s="39" t="s">
        <v>97</v>
      </c>
      <c r="G53" s="39"/>
      <c r="H53" s="39"/>
      <c r="I53" s="39"/>
      <c r="J53" s="39"/>
      <c r="K53" s="39"/>
      <c r="L53" s="39"/>
      <c r="M53" s="39"/>
      <c r="N53" s="39"/>
      <c r="O53" s="39"/>
      <c r="P53" s="39" t="s">
        <v>149</v>
      </c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55" s="1" customFormat="1" ht="74.25" customHeight="1" x14ac:dyDescent="0.2">
      <c r="A54" s="40" t="s">
        <v>58</v>
      </c>
      <c r="B54" s="40"/>
      <c r="C54" s="40"/>
      <c r="D54" s="40"/>
      <c r="E54" s="40"/>
      <c r="F54" s="40" t="s">
        <v>61</v>
      </c>
      <c r="G54" s="40"/>
      <c r="H54" s="40"/>
      <c r="I54" s="40"/>
      <c r="J54" s="40"/>
      <c r="K54" s="40"/>
      <c r="L54" s="40"/>
      <c r="M54" s="40"/>
      <c r="N54" s="40"/>
      <c r="O54" s="40"/>
      <c r="P54" s="58" t="s">
        <v>150</v>
      </c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55" s="1" customFormat="1" ht="12.75" x14ac:dyDescent="0.2"/>
    <row r="56" spans="1:255" s="1" customFormat="1" ht="41.25" customHeight="1" x14ac:dyDescent="0.2">
      <c r="A56" s="7" t="s">
        <v>32</v>
      </c>
      <c r="B56" s="38" t="s">
        <v>151</v>
      </c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55" s="1" customFormat="1" ht="12.75" x14ac:dyDescent="0.2"/>
    <row r="58" spans="1:255" s="1" customFormat="1" ht="12.75" x14ac:dyDescent="0.2">
      <c r="A58" s="1" t="s">
        <v>95</v>
      </c>
      <c r="B58" s="1" t="s">
        <v>34</v>
      </c>
      <c r="N58" s="2" t="s">
        <v>41</v>
      </c>
    </row>
    <row r="59" spans="1:255" s="1" customFormat="1" ht="12.75" x14ac:dyDescent="0.2"/>
    <row r="60" spans="1:255" s="1" customFormat="1" ht="12.75" x14ac:dyDescent="0.2">
      <c r="A60" s="1" t="s">
        <v>33</v>
      </c>
      <c r="B60" s="1" t="s">
        <v>42</v>
      </c>
    </row>
    <row r="61" spans="1:255" x14ac:dyDescent="0.25"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  <c r="HJ61" s="3"/>
      <c r="HK61" s="3"/>
      <c r="HL61" s="3"/>
      <c r="HM61" s="3"/>
      <c r="HN61" s="3"/>
      <c r="HO61" s="3"/>
      <c r="HP61" s="3"/>
      <c r="HQ61" s="3"/>
      <c r="HR61" s="3"/>
      <c r="HS61" s="3"/>
      <c r="HT61" s="3"/>
      <c r="HU61" s="3"/>
      <c r="HV61" s="3"/>
      <c r="HW61" s="3"/>
      <c r="HX61" s="3"/>
      <c r="HY61" s="3"/>
      <c r="HZ61" s="3"/>
      <c r="IA61" s="3"/>
      <c r="IB61" s="3"/>
      <c r="IC61" s="3"/>
      <c r="ID61" s="3"/>
      <c r="IE61" s="3"/>
      <c r="IF61" s="3"/>
      <c r="IG61" s="3"/>
      <c r="IH61" s="3"/>
      <c r="II61" s="3"/>
      <c r="IJ61" s="3"/>
      <c r="IK61" s="3"/>
      <c r="IL61" s="3"/>
      <c r="IM61" s="3"/>
      <c r="IN61" s="3"/>
      <c r="IO61" s="3"/>
      <c r="IP61" s="3"/>
      <c r="IQ61" s="3"/>
      <c r="IR61" s="3"/>
      <c r="IS61" s="3"/>
      <c r="IT61" s="3"/>
      <c r="IU61" s="3"/>
    </row>
    <row r="62" spans="1:255" x14ac:dyDescent="0.25">
      <c r="O62" s="32" t="s">
        <v>75</v>
      </c>
      <c r="P62" s="32"/>
      <c r="Q62" s="32"/>
      <c r="R62" s="31"/>
      <c r="S62" s="31"/>
      <c r="T62" s="31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/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/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</row>
    <row r="63" spans="1:255" x14ac:dyDescent="0.25">
      <c r="O63" s="32"/>
      <c r="P63" s="32"/>
      <c r="Q63" s="32"/>
      <c r="R63" s="31"/>
      <c r="S63" s="31"/>
      <c r="T63" s="31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  <c r="HJ63" s="3"/>
      <c r="HK63" s="3"/>
      <c r="HL63" s="3"/>
      <c r="HM63" s="3"/>
      <c r="HN63" s="3"/>
      <c r="HO63" s="3"/>
      <c r="HP63" s="3"/>
      <c r="HQ63" s="3"/>
      <c r="HR63" s="3"/>
      <c r="HS63" s="3"/>
      <c r="HT63" s="3"/>
      <c r="HU63" s="3"/>
      <c r="HV63" s="3"/>
      <c r="HW63" s="3"/>
      <c r="HX63" s="3"/>
      <c r="HY63" s="3"/>
      <c r="HZ63" s="3"/>
      <c r="IA63" s="3"/>
      <c r="IB63" s="3"/>
      <c r="IC63" s="3"/>
      <c r="ID63" s="3"/>
      <c r="IE63" s="3"/>
      <c r="IF63" s="3"/>
      <c r="IG63" s="3"/>
      <c r="IH63" s="3"/>
      <c r="II63" s="3"/>
      <c r="IJ63" s="3"/>
      <c r="IK63" s="3"/>
      <c r="IL63" s="3"/>
      <c r="IM63" s="3"/>
      <c r="IN63" s="3"/>
      <c r="IO63" s="3"/>
      <c r="IP63" s="3"/>
      <c r="IQ63" s="3"/>
      <c r="IR63" s="3"/>
      <c r="IS63" s="3"/>
      <c r="IT63" s="3"/>
      <c r="IU63" s="3"/>
    </row>
    <row r="64" spans="1:255" x14ac:dyDescent="0.25">
      <c r="O64" s="32"/>
      <c r="P64" s="32"/>
      <c r="Q64" s="33" t="s">
        <v>74</v>
      </c>
      <c r="R64" s="31"/>
      <c r="S64" s="31"/>
      <c r="T64" s="31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</row>
    <row r="65" spans="15:255" x14ac:dyDescent="0.25">
      <c r="O65" s="32"/>
      <c r="P65" s="32"/>
      <c r="Q65" s="32"/>
      <c r="R65" s="31"/>
      <c r="S65" s="31"/>
      <c r="T65" s="31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</row>
    <row r="66" spans="15:255" x14ac:dyDescent="0.25">
      <c r="O66" s="32" t="s">
        <v>152</v>
      </c>
      <c r="P66" s="32"/>
      <c r="Q66" s="33" t="s">
        <v>76</v>
      </c>
      <c r="R66" s="31"/>
      <c r="S66" s="31"/>
      <c r="T66" s="31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  <c r="HJ66" s="3"/>
      <c r="HK66" s="3"/>
      <c r="HL66" s="3"/>
      <c r="HM66" s="3"/>
      <c r="HN66" s="3"/>
      <c r="HO66" s="3"/>
      <c r="HP66" s="3"/>
      <c r="HQ66" s="3"/>
      <c r="HR66" s="3"/>
      <c r="HS66" s="3"/>
      <c r="HT66" s="3"/>
      <c r="HU66" s="3"/>
      <c r="HV66" s="3"/>
      <c r="HW66" s="3"/>
      <c r="HX66" s="3"/>
      <c r="HY66" s="3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3"/>
      <c r="IM66" s="3"/>
      <c r="IN66" s="3"/>
      <c r="IO66" s="3"/>
      <c r="IP66" s="3"/>
      <c r="IQ66" s="3"/>
      <c r="IR66" s="3"/>
      <c r="IS66" s="3"/>
      <c r="IT66" s="3"/>
      <c r="IU66" s="3"/>
    </row>
    <row r="67" spans="15:255" x14ac:dyDescent="0.25"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/>
      <c r="IT67" s="3"/>
      <c r="IU67" s="3"/>
    </row>
    <row r="68" spans="15:255" x14ac:dyDescent="0.25"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3"/>
      <c r="IN68" s="3"/>
      <c r="IO68" s="3"/>
      <c r="IP68" s="3"/>
      <c r="IQ68" s="3"/>
      <c r="IR68" s="3"/>
      <c r="IS68" s="3"/>
      <c r="IT68" s="3"/>
      <c r="IU68" s="3"/>
    </row>
    <row r="69" spans="15:255" x14ac:dyDescent="0.25"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/>
      <c r="IM69" s="3"/>
      <c r="IN69" s="3"/>
      <c r="IO69" s="3"/>
      <c r="IP69" s="3"/>
      <c r="IQ69" s="3"/>
      <c r="IR69" s="3"/>
      <c r="IS69" s="3"/>
      <c r="IT69" s="3"/>
      <c r="IU69" s="3"/>
    </row>
    <row r="70" spans="15:255" x14ac:dyDescent="0.25"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  <c r="IA70" s="3"/>
      <c r="IB70" s="3"/>
      <c r="IC70" s="3"/>
      <c r="ID70" s="3"/>
      <c r="IE70" s="3"/>
      <c r="IF70" s="3"/>
      <c r="IG70" s="3"/>
      <c r="IH70" s="3"/>
      <c r="II70" s="3"/>
      <c r="IJ70" s="3"/>
      <c r="IK70" s="3"/>
      <c r="IL70" s="3"/>
      <c r="IM70" s="3"/>
      <c r="IN70" s="3"/>
      <c r="IO70" s="3"/>
      <c r="IP70" s="3"/>
      <c r="IQ70" s="3"/>
      <c r="IR70" s="3"/>
      <c r="IS70" s="3"/>
      <c r="IT70" s="3"/>
      <c r="IU70" s="3"/>
    </row>
    <row r="71" spans="15:255" x14ac:dyDescent="0.25"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  <c r="IA71" s="3"/>
      <c r="IB71" s="3"/>
      <c r="IC71" s="3"/>
      <c r="ID71" s="3"/>
      <c r="IE71" s="3"/>
      <c r="IF71" s="3"/>
      <c r="IG71" s="3"/>
      <c r="IH71" s="3"/>
      <c r="II71" s="3"/>
      <c r="IJ71" s="3"/>
      <c r="IK71" s="3"/>
      <c r="IL71" s="3"/>
      <c r="IM71" s="3"/>
      <c r="IN71" s="3"/>
      <c r="IO71" s="3"/>
      <c r="IP71" s="3"/>
      <c r="IQ71" s="3"/>
      <c r="IR71" s="3"/>
      <c r="IS71" s="3"/>
      <c r="IT71" s="3"/>
      <c r="IU71" s="3"/>
    </row>
    <row r="72" spans="15:255" x14ac:dyDescent="0.25"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  <c r="IA72" s="3"/>
      <c r="IB72" s="3"/>
      <c r="IC72" s="3"/>
      <c r="ID72" s="3"/>
      <c r="IE72" s="3"/>
      <c r="IF72" s="3"/>
      <c r="IG72" s="3"/>
      <c r="IH72" s="3"/>
      <c r="II72" s="3"/>
      <c r="IJ72" s="3"/>
      <c r="IK72" s="3"/>
      <c r="IL72" s="3"/>
      <c r="IM72" s="3"/>
      <c r="IN72" s="3"/>
      <c r="IO72" s="3"/>
      <c r="IP72" s="3"/>
      <c r="IQ72" s="3"/>
      <c r="IR72" s="3"/>
      <c r="IS72" s="3"/>
      <c r="IT72" s="3"/>
      <c r="IU72" s="3"/>
    </row>
    <row r="73" spans="15:255" x14ac:dyDescent="0.25"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</row>
    <row r="74" spans="15:255" x14ac:dyDescent="0.25"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  <c r="IA74" s="3"/>
      <c r="IB74" s="3"/>
      <c r="IC74" s="3"/>
      <c r="ID74" s="3"/>
      <c r="IE74" s="3"/>
      <c r="IF74" s="3"/>
      <c r="IG74" s="3"/>
      <c r="IH74" s="3"/>
      <c r="II74" s="3"/>
      <c r="IJ74" s="3"/>
      <c r="IK74" s="3"/>
      <c r="IL74" s="3"/>
      <c r="IM74" s="3"/>
      <c r="IN74" s="3"/>
      <c r="IO74" s="3"/>
      <c r="IP74" s="3"/>
      <c r="IQ74" s="3"/>
      <c r="IR74" s="3"/>
      <c r="IS74" s="3"/>
      <c r="IT74" s="3"/>
      <c r="IU74" s="3"/>
    </row>
    <row r="75" spans="15:255" x14ac:dyDescent="0.25"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3"/>
      <c r="IN75" s="3"/>
      <c r="IO75" s="3"/>
      <c r="IP75" s="3"/>
      <c r="IQ75" s="3"/>
      <c r="IR75" s="3"/>
      <c r="IS75" s="3"/>
      <c r="IT75" s="3"/>
      <c r="IU75" s="3"/>
    </row>
    <row r="76" spans="15:255" x14ac:dyDescent="0.25"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</row>
    <row r="77" spans="15:255" x14ac:dyDescent="0.25"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  <c r="IA77" s="3"/>
      <c r="IB77" s="3"/>
      <c r="IC77" s="3"/>
      <c r="ID77" s="3"/>
      <c r="IE77" s="3"/>
      <c r="IF77" s="3"/>
      <c r="IG77" s="3"/>
      <c r="IH77" s="3"/>
      <c r="II77" s="3"/>
      <c r="IJ77" s="3"/>
      <c r="IK77" s="3"/>
      <c r="IL77" s="3"/>
      <c r="IM77" s="3"/>
      <c r="IN77" s="3"/>
      <c r="IO77" s="3"/>
      <c r="IP77" s="3"/>
      <c r="IQ77" s="3"/>
      <c r="IR77" s="3"/>
      <c r="IS77" s="3"/>
      <c r="IT77" s="3"/>
      <c r="IU77" s="3"/>
    </row>
    <row r="78" spans="15:255" x14ac:dyDescent="0.25"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</row>
    <row r="79" spans="15:255" x14ac:dyDescent="0.25"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</row>
    <row r="80" spans="15:255" x14ac:dyDescent="0.25"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</row>
    <row r="81" spans="28:255" x14ac:dyDescent="0.25"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</row>
    <row r="82" spans="28:255" x14ac:dyDescent="0.25"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</row>
    <row r="83" spans="28:255" x14ac:dyDescent="0.25"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  <c r="IA83" s="3"/>
      <c r="IB83" s="3"/>
      <c r="IC83" s="3"/>
      <c r="ID83" s="3"/>
      <c r="IE83" s="3"/>
      <c r="IF83" s="3"/>
      <c r="IG83" s="3"/>
      <c r="IH83" s="3"/>
      <c r="II83" s="3"/>
      <c r="IJ83" s="3"/>
      <c r="IK83" s="3"/>
      <c r="IL83" s="3"/>
      <c r="IM83" s="3"/>
      <c r="IN83" s="3"/>
      <c r="IO83" s="3"/>
      <c r="IP83" s="3"/>
      <c r="IQ83" s="3"/>
      <c r="IR83" s="3"/>
      <c r="IS83" s="3"/>
      <c r="IT83" s="3"/>
      <c r="IU83" s="3"/>
    </row>
    <row r="84" spans="28:255" x14ac:dyDescent="0.25"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  <c r="IA84" s="3"/>
      <c r="IB84" s="3"/>
      <c r="IC84" s="3"/>
      <c r="ID84" s="3"/>
      <c r="IE84" s="3"/>
      <c r="IF84" s="3"/>
      <c r="IG84" s="3"/>
      <c r="IH84" s="3"/>
      <c r="II84" s="3"/>
      <c r="IJ84" s="3"/>
      <c r="IK84" s="3"/>
      <c r="IL84" s="3"/>
      <c r="IM84" s="3"/>
      <c r="IN84" s="3"/>
      <c r="IO84" s="3"/>
      <c r="IP84" s="3"/>
      <c r="IQ84" s="3"/>
      <c r="IR84" s="3"/>
      <c r="IS84" s="3"/>
      <c r="IT84" s="3"/>
      <c r="IU84" s="3"/>
    </row>
    <row r="85" spans="28:255" x14ac:dyDescent="0.25"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  <c r="IA85" s="3"/>
      <c r="IB85" s="3"/>
      <c r="IC85" s="3"/>
      <c r="ID85" s="3"/>
      <c r="IE85" s="3"/>
      <c r="IF85" s="3"/>
      <c r="IG85" s="3"/>
      <c r="IH85" s="3"/>
      <c r="II85" s="3"/>
      <c r="IJ85" s="3"/>
      <c r="IK85" s="3"/>
      <c r="IL85" s="3"/>
      <c r="IM85" s="3"/>
      <c r="IN85" s="3"/>
      <c r="IO85" s="3"/>
      <c r="IP85" s="3"/>
      <c r="IQ85" s="3"/>
      <c r="IR85" s="3"/>
      <c r="IS85" s="3"/>
      <c r="IT85" s="3"/>
      <c r="IU85" s="3"/>
    </row>
    <row r="86" spans="28:255" x14ac:dyDescent="0.25"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  <c r="IA86" s="3"/>
      <c r="IB86" s="3"/>
      <c r="IC86" s="3"/>
      <c r="ID86" s="3"/>
      <c r="IE86" s="3"/>
      <c r="IF86" s="3"/>
      <c r="IG86" s="3"/>
      <c r="IH86" s="3"/>
      <c r="II86" s="3"/>
      <c r="IJ86" s="3"/>
      <c r="IK86" s="3"/>
      <c r="IL86" s="3"/>
      <c r="IM86" s="3"/>
      <c r="IN86" s="3"/>
      <c r="IO86" s="3"/>
      <c r="IP86" s="3"/>
      <c r="IQ86" s="3"/>
      <c r="IR86" s="3"/>
      <c r="IS86" s="3"/>
      <c r="IT86" s="3"/>
      <c r="IU86" s="3"/>
    </row>
    <row r="87" spans="28:255" x14ac:dyDescent="0.25"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/>
      <c r="IP87" s="3"/>
      <c r="IQ87" s="3"/>
      <c r="IR87" s="3"/>
      <c r="IS87" s="3"/>
      <c r="IT87" s="3"/>
      <c r="IU87" s="3"/>
    </row>
    <row r="88" spans="28:255" x14ac:dyDescent="0.25"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  <c r="IA88" s="3"/>
      <c r="IB88" s="3"/>
      <c r="IC88" s="3"/>
      <c r="ID88" s="3"/>
      <c r="IE88" s="3"/>
      <c r="IF88" s="3"/>
      <c r="IG88" s="3"/>
      <c r="IH88" s="3"/>
      <c r="II88" s="3"/>
      <c r="IJ88" s="3"/>
      <c r="IK88" s="3"/>
      <c r="IL88" s="3"/>
      <c r="IM88" s="3"/>
      <c r="IN88" s="3"/>
      <c r="IO88" s="3"/>
      <c r="IP88" s="3"/>
      <c r="IQ88" s="3"/>
      <c r="IR88" s="3"/>
      <c r="IS88" s="3"/>
      <c r="IT88" s="3"/>
      <c r="IU88" s="3"/>
    </row>
    <row r="89" spans="28:255" x14ac:dyDescent="0.25"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  <c r="IA89" s="3"/>
      <c r="IB89" s="3"/>
      <c r="IC89" s="3"/>
      <c r="ID89" s="3"/>
      <c r="IE89" s="3"/>
      <c r="IF89" s="3"/>
      <c r="IG89" s="3"/>
      <c r="IH89" s="3"/>
      <c r="II89" s="3"/>
      <c r="IJ89" s="3"/>
      <c r="IK89" s="3"/>
      <c r="IL89" s="3"/>
      <c r="IM89" s="3"/>
      <c r="IN89" s="3"/>
      <c r="IO89" s="3"/>
      <c r="IP89" s="3"/>
      <c r="IQ89" s="3"/>
      <c r="IR89" s="3"/>
      <c r="IS89" s="3"/>
      <c r="IT89" s="3"/>
      <c r="IU89" s="3"/>
    </row>
    <row r="90" spans="28:255" x14ac:dyDescent="0.25"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  <c r="IA90" s="3"/>
      <c r="IB90" s="3"/>
      <c r="IC90" s="3"/>
      <c r="ID90" s="3"/>
      <c r="IE90" s="3"/>
      <c r="IF90" s="3"/>
      <c r="IG90" s="3"/>
      <c r="IH90" s="3"/>
      <c r="II90" s="3"/>
      <c r="IJ90" s="3"/>
      <c r="IK90" s="3"/>
      <c r="IL90" s="3"/>
      <c r="IM90" s="3"/>
      <c r="IN90" s="3"/>
      <c r="IO90" s="3"/>
      <c r="IP90" s="3"/>
      <c r="IQ90" s="3"/>
      <c r="IR90" s="3"/>
      <c r="IS90" s="3"/>
      <c r="IT90" s="3"/>
      <c r="IU90" s="3"/>
    </row>
    <row r="91" spans="28:255" x14ac:dyDescent="0.25"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  <c r="IA91" s="3"/>
      <c r="IB91" s="3"/>
      <c r="IC91" s="3"/>
      <c r="ID91" s="3"/>
      <c r="IE91" s="3"/>
      <c r="IF91" s="3"/>
      <c r="IG91" s="3"/>
      <c r="IH91" s="3"/>
      <c r="II91" s="3"/>
      <c r="IJ91" s="3"/>
      <c r="IK91" s="3"/>
      <c r="IL91" s="3"/>
      <c r="IM91" s="3"/>
      <c r="IN91" s="3"/>
      <c r="IO91" s="3"/>
      <c r="IP91" s="3"/>
      <c r="IQ91" s="3"/>
      <c r="IR91" s="3"/>
      <c r="IS91" s="3"/>
      <c r="IT91" s="3"/>
      <c r="IU91" s="3"/>
    </row>
    <row r="92" spans="28:255" x14ac:dyDescent="0.25"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3"/>
      <c r="IM92" s="3"/>
      <c r="IN92" s="3"/>
      <c r="IO92" s="3"/>
      <c r="IP92" s="3"/>
      <c r="IQ92" s="3"/>
      <c r="IR92" s="3"/>
      <c r="IS92" s="3"/>
      <c r="IT92" s="3"/>
      <c r="IU92" s="3"/>
    </row>
    <row r="93" spans="28:255" x14ac:dyDescent="0.25"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3"/>
      <c r="IM93" s="3"/>
      <c r="IN93" s="3"/>
      <c r="IO93" s="3"/>
      <c r="IP93" s="3"/>
      <c r="IQ93" s="3"/>
      <c r="IR93" s="3"/>
      <c r="IS93" s="3"/>
      <c r="IT93" s="3"/>
      <c r="IU93" s="3"/>
    </row>
    <row r="94" spans="28:255" x14ac:dyDescent="0.25"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/>
      <c r="IR94" s="3"/>
      <c r="IS94" s="3"/>
      <c r="IT94" s="3"/>
      <c r="IU94" s="3"/>
    </row>
    <row r="95" spans="28:255" x14ac:dyDescent="0.25"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  <c r="IA95" s="3"/>
      <c r="IB95" s="3"/>
      <c r="IC95" s="3"/>
      <c r="ID95" s="3"/>
      <c r="IE95" s="3"/>
      <c r="IF95" s="3"/>
      <c r="IG95" s="3"/>
      <c r="IH95" s="3"/>
      <c r="II95" s="3"/>
      <c r="IJ95" s="3"/>
      <c r="IK95" s="3"/>
      <c r="IL95" s="3"/>
      <c r="IM95" s="3"/>
      <c r="IN95" s="3"/>
      <c r="IO95" s="3"/>
      <c r="IP95" s="3"/>
      <c r="IQ95" s="3"/>
      <c r="IR95" s="3"/>
      <c r="IS95" s="3"/>
      <c r="IT95" s="3"/>
      <c r="IU95" s="3"/>
    </row>
    <row r="96" spans="28:255" x14ac:dyDescent="0.25"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  <c r="IA96" s="3"/>
      <c r="IB96" s="3"/>
      <c r="IC96" s="3"/>
      <c r="ID96" s="3"/>
      <c r="IE96" s="3"/>
      <c r="IF96" s="3"/>
      <c r="IG96" s="3"/>
      <c r="IH96" s="3"/>
      <c r="II96" s="3"/>
      <c r="IJ96" s="3"/>
      <c r="IK96" s="3"/>
      <c r="IL96" s="3"/>
      <c r="IM96" s="3"/>
      <c r="IN96" s="3"/>
      <c r="IO96" s="3"/>
      <c r="IP96" s="3"/>
      <c r="IQ96" s="3"/>
      <c r="IR96" s="3"/>
      <c r="IS96" s="3"/>
      <c r="IT96" s="3"/>
      <c r="IU96" s="3"/>
    </row>
    <row r="97" spans="28:255" x14ac:dyDescent="0.25"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  <c r="IA97" s="3"/>
      <c r="IB97" s="3"/>
      <c r="IC97" s="3"/>
      <c r="ID97" s="3"/>
      <c r="IE97" s="3"/>
      <c r="IF97" s="3"/>
      <c r="IG97" s="3"/>
      <c r="IH97" s="3"/>
      <c r="II97" s="3"/>
      <c r="IJ97" s="3"/>
      <c r="IK97" s="3"/>
      <c r="IL97" s="3"/>
      <c r="IM97" s="3"/>
      <c r="IN97" s="3"/>
      <c r="IO97" s="3"/>
      <c r="IP97" s="3"/>
      <c r="IQ97" s="3"/>
      <c r="IR97" s="3"/>
      <c r="IS97" s="3"/>
      <c r="IT97" s="3"/>
      <c r="IU97" s="3"/>
    </row>
    <row r="98" spans="28:255" x14ac:dyDescent="0.25"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  <c r="IA98" s="3"/>
      <c r="IB98" s="3"/>
      <c r="IC98" s="3"/>
      <c r="ID98" s="3"/>
      <c r="IE98" s="3"/>
      <c r="IF98" s="3"/>
      <c r="IG98" s="3"/>
      <c r="IH98" s="3"/>
      <c r="II98" s="3"/>
      <c r="IJ98" s="3"/>
      <c r="IK98" s="3"/>
      <c r="IL98" s="3"/>
      <c r="IM98" s="3"/>
      <c r="IN98" s="3"/>
      <c r="IO98" s="3"/>
      <c r="IP98" s="3"/>
      <c r="IQ98" s="3"/>
      <c r="IR98" s="3"/>
      <c r="IS98" s="3"/>
      <c r="IT98" s="3"/>
      <c r="IU98" s="3"/>
    </row>
    <row r="99" spans="28:255" x14ac:dyDescent="0.25"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3"/>
      <c r="IM99" s="3"/>
      <c r="IN99" s="3"/>
      <c r="IO99" s="3"/>
      <c r="IP99" s="3"/>
      <c r="IQ99" s="3"/>
      <c r="IR99" s="3"/>
      <c r="IS99" s="3"/>
      <c r="IT99" s="3"/>
      <c r="IU99" s="3"/>
    </row>
    <row r="100" spans="28:255" x14ac:dyDescent="0.25"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3"/>
      <c r="IM100" s="3"/>
      <c r="IN100" s="3"/>
      <c r="IO100" s="3"/>
      <c r="IP100" s="3"/>
      <c r="IQ100" s="3"/>
      <c r="IR100" s="3"/>
      <c r="IS100" s="3"/>
      <c r="IT100" s="3"/>
      <c r="IU100" s="3"/>
    </row>
    <row r="101" spans="28:255" x14ac:dyDescent="0.25"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</row>
    <row r="102" spans="28:255" x14ac:dyDescent="0.25"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</row>
    <row r="103" spans="28:255" x14ac:dyDescent="0.25"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</row>
    <row r="104" spans="28:255" x14ac:dyDescent="0.25"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</row>
    <row r="105" spans="28:255" x14ac:dyDescent="0.25"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</row>
    <row r="106" spans="28:255" x14ac:dyDescent="0.25"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</row>
    <row r="107" spans="28:255" x14ac:dyDescent="0.25"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</row>
    <row r="108" spans="28:255" x14ac:dyDescent="0.25"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</row>
    <row r="109" spans="28:255" x14ac:dyDescent="0.25"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</row>
    <row r="110" spans="28:255" x14ac:dyDescent="0.25"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3"/>
      <c r="IL110" s="3"/>
      <c r="IM110" s="3"/>
      <c r="IN110" s="3"/>
      <c r="IO110" s="3"/>
      <c r="IP110" s="3"/>
      <c r="IQ110" s="3"/>
      <c r="IR110" s="3"/>
      <c r="IS110" s="3"/>
      <c r="IT110" s="3"/>
      <c r="IU110" s="3"/>
    </row>
    <row r="111" spans="28:255" x14ac:dyDescent="0.25"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</row>
    <row r="112" spans="28:255" x14ac:dyDescent="0.25"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</row>
    <row r="113" spans="28:255" x14ac:dyDescent="0.25"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</row>
    <row r="114" spans="28:255" x14ac:dyDescent="0.25"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  <c r="IA114" s="3"/>
      <c r="IB114" s="3"/>
      <c r="IC114" s="3"/>
      <c r="ID114" s="3"/>
      <c r="IE114" s="3"/>
      <c r="IF114" s="3"/>
      <c r="IG114" s="3"/>
      <c r="IH114" s="3"/>
      <c r="II114" s="3"/>
      <c r="IJ114" s="3"/>
      <c r="IK114" s="3"/>
      <c r="IL114" s="3"/>
      <c r="IM114" s="3"/>
      <c r="IN114" s="3"/>
      <c r="IO114" s="3"/>
      <c r="IP114" s="3"/>
      <c r="IQ114" s="3"/>
      <c r="IR114" s="3"/>
      <c r="IS114" s="3"/>
      <c r="IT114" s="3"/>
      <c r="IU114" s="3"/>
    </row>
    <row r="115" spans="28:255" x14ac:dyDescent="0.25"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  <c r="IA115" s="3"/>
      <c r="IB115" s="3"/>
      <c r="IC115" s="3"/>
      <c r="ID115" s="3"/>
      <c r="IE115" s="3"/>
      <c r="IF115" s="3"/>
      <c r="IG115" s="3"/>
      <c r="IH115" s="3"/>
      <c r="II115" s="3"/>
      <c r="IJ115" s="3"/>
      <c r="IK115" s="3"/>
      <c r="IL115" s="3"/>
      <c r="IM115" s="3"/>
      <c r="IN115" s="3"/>
      <c r="IO115" s="3"/>
      <c r="IP115" s="3"/>
      <c r="IQ115" s="3"/>
      <c r="IR115" s="3"/>
      <c r="IS115" s="3"/>
      <c r="IT115" s="3"/>
      <c r="IU115" s="3"/>
    </row>
    <row r="116" spans="28:255" x14ac:dyDescent="0.25"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</row>
    <row r="117" spans="28:255" x14ac:dyDescent="0.25"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</row>
    <row r="118" spans="28:255" x14ac:dyDescent="0.25"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</row>
    <row r="119" spans="28:255" x14ac:dyDescent="0.25"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  <c r="HJ119" s="3"/>
      <c r="HK119" s="3"/>
      <c r="HL119" s="3"/>
      <c r="HM119" s="3"/>
      <c r="HN119" s="3"/>
      <c r="HO119" s="3"/>
      <c r="HP119" s="3"/>
      <c r="HQ119" s="3"/>
      <c r="HR119" s="3"/>
      <c r="HS119" s="3"/>
      <c r="HT119" s="3"/>
      <c r="HU119" s="3"/>
      <c r="HV119" s="3"/>
      <c r="HW119" s="3"/>
      <c r="HX119" s="3"/>
      <c r="HY119" s="3"/>
      <c r="HZ119" s="3"/>
      <c r="IA119" s="3"/>
      <c r="IB119" s="3"/>
      <c r="IC119" s="3"/>
      <c r="ID119" s="3"/>
      <c r="IE119" s="3"/>
      <c r="IF119" s="3"/>
      <c r="IG119" s="3"/>
      <c r="IH119" s="3"/>
      <c r="II119" s="3"/>
      <c r="IJ119" s="3"/>
      <c r="IK119" s="3"/>
      <c r="IL119" s="3"/>
      <c r="IM119" s="3"/>
      <c r="IN119" s="3"/>
      <c r="IO119" s="3"/>
      <c r="IP119" s="3"/>
      <c r="IQ119" s="3"/>
      <c r="IR119" s="3"/>
      <c r="IS119" s="3"/>
      <c r="IT119" s="3"/>
      <c r="IU119" s="3"/>
    </row>
    <row r="120" spans="28:255" x14ac:dyDescent="0.25"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3"/>
      <c r="GR120" s="3"/>
      <c r="GS120" s="3"/>
      <c r="GT120" s="3"/>
      <c r="GU120" s="3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</row>
    <row r="121" spans="28:255" x14ac:dyDescent="0.25"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  <c r="HJ121" s="3"/>
      <c r="HK121" s="3"/>
      <c r="HL121" s="3"/>
      <c r="HM121" s="3"/>
      <c r="HN121" s="3"/>
      <c r="HO121" s="3"/>
      <c r="HP121" s="3"/>
      <c r="HQ121" s="3"/>
      <c r="HR121" s="3"/>
      <c r="HS121" s="3"/>
      <c r="HT121" s="3"/>
      <c r="HU121" s="3"/>
      <c r="HV121" s="3"/>
      <c r="HW121" s="3"/>
      <c r="HX121" s="3"/>
      <c r="HY121" s="3"/>
      <c r="HZ121" s="3"/>
      <c r="IA121" s="3"/>
      <c r="IB121" s="3"/>
      <c r="IC121" s="3"/>
      <c r="ID121" s="3"/>
      <c r="IE121" s="3"/>
      <c r="IF121" s="3"/>
      <c r="IG121" s="3"/>
      <c r="IH121" s="3"/>
      <c r="II121" s="3"/>
      <c r="IJ121" s="3"/>
      <c r="IK121" s="3"/>
      <c r="IL121" s="3"/>
      <c r="IM121" s="3"/>
      <c r="IN121" s="3"/>
      <c r="IO121" s="3"/>
      <c r="IP121" s="3"/>
      <c r="IQ121" s="3"/>
      <c r="IR121" s="3"/>
      <c r="IS121" s="3"/>
      <c r="IT121" s="3"/>
      <c r="IU121" s="3"/>
    </row>
    <row r="122" spans="28:255" x14ac:dyDescent="0.25"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  <c r="HJ122" s="3"/>
      <c r="HK122" s="3"/>
      <c r="HL122" s="3"/>
      <c r="HM122" s="3"/>
      <c r="HN122" s="3"/>
      <c r="HO122" s="3"/>
      <c r="HP122" s="3"/>
      <c r="HQ122" s="3"/>
      <c r="HR122" s="3"/>
      <c r="HS122" s="3"/>
      <c r="HT122" s="3"/>
      <c r="HU122" s="3"/>
      <c r="HV122" s="3"/>
      <c r="HW122" s="3"/>
      <c r="HX122" s="3"/>
      <c r="HY122" s="3"/>
      <c r="HZ122" s="3"/>
      <c r="IA122" s="3"/>
      <c r="IB122" s="3"/>
      <c r="IC122" s="3"/>
      <c r="ID122" s="3"/>
      <c r="IE122" s="3"/>
      <c r="IF122" s="3"/>
      <c r="IG122" s="3"/>
      <c r="IH122" s="3"/>
      <c r="II122" s="3"/>
      <c r="IJ122" s="3"/>
      <c r="IK122" s="3"/>
      <c r="IL122" s="3"/>
      <c r="IM122" s="3"/>
      <c r="IN122" s="3"/>
      <c r="IO122" s="3"/>
      <c r="IP122" s="3"/>
      <c r="IQ122" s="3"/>
      <c r="IR122" s="3"/>
      <c r="IS122" s="3"/>
      <c r="IT122" s="3"/>
      <c r="IU122" s="3"/>
    </row>
    <row r="123" spans="28:255" x14ac:dyDescent="0.25"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  <c r="HJ123" s="3"/>
      <c r="HK123" s="3"/>
      <c r="HL123" s="3"/>
      <c r="HM123" s="3"/>
      <c r="HN123" s="3"/>
      <c r="HO123" s="3"/>
      <c r="HP123" s="3"/>
      <c r="HQ123" s="3"/>
      <c r="HR123" s="3"/>
      <c r="HS123" s="3"/>
      <c r="HT123" s="3"/>
      <c r="HU123" s="3"/>
      <c r="HV123" s="3"/>
      <c r="HW123" s="3"/>
      <c r="HX123" s="3"/>
      <c r="HY123" s="3"/>
      <c r="HZ123" s="3"/>
      <c r="IA123" s="3"/>
      <c r="IB123" s="3"/>
      <c r="IC123" s="3"/>
      <c r="ID123" s="3"/>
      <c r="IE123" s="3"/>
      <c r="IF123" s="3"/>
      <c r="IG123" s="3"/>
      <c r="IH123" s="3"/>
      <c r="II123" s="3"/>
      <c r="IJ123" s="3"/>
      <c r="IK123" s="3"/>
      <c r="IL123" s="3"/>
      <c r="IM123" s="3"/>
      <c r="IN123" s="3"/>
      <c r="IO123" s="3"/>
      <c r="IP123" s="3"/>
      <c r="IQ123" s="3"/>
      <c r="IR123" s="3"/>
      <c r="IS123" s="3"/>
      <c r="IT123" s="3"/>
      <c r="IU123" s="3"/>
    </row>
    <row r="124" spans="28:255" x14ac:dyDescent="0.25"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  <c r="FZ124" s="3"/>
      <c r="GA124" s="3"/>
      <c r="GB124" s="3"/>
      <c r="GC124" s="3"/>
      <c r="GD124" s="3"/>
      <c r="GE124" s="3"/>
      <c r="GF124" s="3"/>
      <c r="GG124" s="3"/>
      <c r="GH124" s="3"/>
      <c r="GI124" s="3"/>
      <c r="GJ124" s="3"/>
      <c r="GK124" s="3"/>
      <c r="GL124" s="3"/>
      <c r="GM124" s="3"/>
      <c r="GN124" s="3"/>
      <c r="GO124" s="3"/>
      <c r="GP124" s="3"/>
      <c r="GQ124" s="3"/>
      <c r="GR124" s="3"/>
      <c r="GS124" s="3"/>
      <c r="GT124" s="3"/>
      <c r="GU124" s="3"/>
      <c r="GV124" s="3"/>
      <c r="GW124" s="3"/>
      <c r="GX124" s="3"/>
      <c r="GY124" s="3"/>
      <c r="GZ124" s="3"/>
      <c r="HA124" s="3"/>
      <c r="HB124" s="3"/>
      <c r="HC124" s="3"/>
      <c r="HD124" s="3"/>
      <c r="HE124" s="3"/>
      <c r="HF124" s="3"/>
      <c r="HG124" s="3"/>
      <c r="HH124" s="3"/>
      <c r="HI124" s="3"/>
      <c r="HJ124" s="3"/>
      <c r="HK124" s="3"/>
      <c r="HL124" s="3"/>
      <c r="HM124" s="3"/>
      <c r="HN124" s="3"/>
      <c r="HO124" s="3"/>
      <c r="HP124" s="3"/>
      <c r="HQ124" s="3"/>
      <c r="HR124" s="3"/>
      <c r="HS124" s="3"/>
      <c r="HT124" s="3"/>
      <c r="HU124" s="3"/>
      <c r="HV124" s="3"/>
      <c r="HW124" s="3"/>
      <c r="HX124" s="3"/>
      <c r="HY124" s="3"/>
      <c r="HZ124" s="3"/>
      <c r="IA124" s="3"/>
      <c r="IB124" s="3"/>
      <c r="IC124" s="3"/>
      <c r="ID124" s="3"/>
      <c r="IE124" s="3"/>
      <c r="IF124" s="3"/>
      <c r="IG124" s="3"/>
      <c r="IH124" s="3"/>
      <c r="II124" s="3"/>
      <c r="IJ124" s="3"/>
      <c r="IK124" s="3"/>
      <c r="IL124" s="3"/>
      <c r="IM124" s="3"/>
      <c r="IN124" s="3"/>
      <c r="IO124" s="3"/>
      <c r="IP124" s="3"/>
      <c r="IQ124" s="3"/>
      <c r="IR124" s="3"/>
      <c r="IS124" s="3"/>
      <c r="IT124" s="3"/>
      <c r="IU124" s="3"/>
    </row>
    <row r="125" spans="28:255" x14ac:dyDescent="0.25"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  <c r="FZ125" s="3"/>
      <c r="GA125" s="3"/>
      <c r="GB125" s="3"/>
      <c r="GC125" s="3"/>
      <c r="GD125" s="3"/>
      <c r="GE125" s="3"/>
      <c r="GF125" s="3"/>
      <c r="GG125" s="3"/>
      <c r="GH125" s="3"/>
      <c r="GI125" s="3"/>
      <c r="GJ125" s="3"/>
      <c r="GK125" s="3"/>
      <c r="GL125" s="3"/>
      <c r="GM125" s="3"/>
      <c r="GN125" s="3"/>
      <c r="GO125" s="3"/>
      <c r="GP125" s="3"/>
      <c r="GQ125" s="3"/>
      <c r="GR125" s="3"/>
      <c r="GS125" s="3"/>
      <c r="GT125" s="3"/>
      <c r="GU125" s="3"/>
      <c r="GV125" s="3"/>
      <c r="GW125" s="3"/>
      <c r="GX125" s="3"/>
      <c r="GY125" s="3"/>
      <c r="GZ125" s="3"/>
      <c r="HA125" s="3"/>
      <c r="HB125" s="3"/>
      <c r="HC125" s="3"/>
      <c r="HD125" s="3"/>
      <c r="HE125" s="3"/>
      <c r="HF125" s="3"/>
      <c r="HG125" s="3"/>
      <c r="HH125" s="3"/>
      <c r="HI125" s="3"/>
      <c r="HJ125" s="3"/>
      <c r="HK125" s="3"/>
      <c r="HL125" s="3"/>
      <c r="HM125" s="3"/>
      <c r="HN125" s="3"/>
      <c r="HO125" s="3"/>
      <c r="HP125" s="3"/>
      <c r="HQ125" s="3"/>
      <c r="HR125" s="3"/>
      <c r="HS125" s="3"/>
      <c r="HT125" s="3"/>
      <c r="HU125" s="3"/>
      <c r="HV125" s="3"/>
      <c r="HW125" s="3"/>
      <c r="HX125" s="3"/>
      <c r="HY125" s="3"/>
      <c r="HZ125" s="3"/>
      <c r="IA125" s="3"/>
      <c r="IB125" s="3"/>
      <c r="IC125" s="3"/>
      <c r="ID125" s="3"/>
      <c r="IE125" s="3"/>
      <c r="IF125" s="3"/>
      <c r="IG125" s="3"/>
      <c r="IH125" s="3"/>
      <c r="II125" s="3"/>
      <c r="IJ125" s="3"/>
      <c r="IK125" s="3"/>
      <c r="IL125" s="3"/>
      <c r="IM125" s="3"/>
      <c r="IN125" s="3"/>
      <c r="IO125" s="3"/>
      <c r="IP125" s="3"/>
      <c r="IQ125" s="3"/>
      <c r="IR125" s="3"/>
      <c r="IS125" s="3"/>
      <c r="IT125" s="3"/>
      <c r="IU125" s="3"/>
    </row>
    <row r="126" spans="28:255" x14ac:dyDescent="0.25"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  <c r="FZ126" s="3"/>
      <c r="GA126" s="3"/>
      <c r="GB126" s="3"/>
      <c r="GC126" s="3"/>
      <c r="GD126" s="3"/>
      <c r="GE126" s="3"/>
      <c r="GF126" s="3"/>
      <c r="GG126" s="3"/>
      <c r="GH126" s="3"/>
      <c r="GI126" s="3"/>
      <c r="GJ126" s="3"/>
      <c r="GK126" s="3"/>
      <c r="GL126" s="3"/>
      <c r="GM126" s="3"/>
      <c r="GN126" s="3"/>
      <c r="GO126" s="3"/>
      <c r="GP126" s="3"/>
      <c r="GQ126" s="3"/>
      <c r="GR126" s="3"/>
      <c r="GS126" s="3"/>
      <c r="GT126" s="3"/>
      <c r="GU126" s="3"/>
      <c r="GV126" s="3"/>
      <c r="GW126" s="3"/>
      <c r="GX126" s="3"/>
      <c r="GY126" s="3"/>
      <c r="GZ126" s="3"/>
      <c r="HA126" s="3"/>
      <c r="HB126" s="3"/>
      <c r="HC126" s="3"/>
      <c r="HD126" s="3"/>
      <c r="HE126" s="3"/>
      <c r="HF126" s="3"/>
      <c r="HG126" s="3"/>
      <c r="HH126" s="3"/>
      <c r="HI126" s="3"/>
      <c r="HJ126" s="3"/>
      <c r="HK126" s="3"/>
      <c r="HL126" s="3"/>
      <c r="HM126" s="3"/>
      <c r="HN126" s="3"/>
      <c r="HO126" s="3"/>
      <c r="HP126" s="3"/>
      <c r="HQ126" s="3"/>
      <c r="HR126" s="3"/>
      <c r="HS126" s="3"/>
      <c r="HT126" s="3"/>
      <c r="HU126" s="3"/>
      <c r="HV126" s="3"/>
      <c r="HW126" s="3"/>
      <c r="HX126" s="3"/>
      <c r="HY126" s="3"/>
      <c r="HZ126" s="3"/>
      <c r="IA126" s="3"/>
      <c r="IB126" s="3"/>
      <c r="IC126" s="3"/>
      <c r="ID126" s="3"/>
      <c r="IE126" s="3"/>
      <c r="IF126" s="3"/>
      <c r="IG126" s="3"/>
      <c r="IH126" s="3"/>
      <c r="II126" s="3"/>
      <c r="IJ126" s="3"/>
      <c r="IK126" s="3"/>
      <c r="IL126" s="3"/>
      <c r="IM126" s="3"/>
      <c r="IN126" s="3"/>
      <c r="IO126" s="3"/>
      <c r="IP126" s="3"/>
      <c r="IQ126" s="3"/>
      <c r="IR126" s="3"/>
      <c r="IS126" s="3"/>
      <c r="IT126" s="3"/>
      <c r="IU126" s="3"/>
    </row>
    <row r="127" spans="28:255" x14ac:dyDescent="0.25"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</row>
    <row r="128" spans="28:255" x14ac:dyDescent="0.25"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  <c r="FZ128" s="3"/>
      <c r="GA128" s="3"/>
      <c r="GB128" s="3"/>
      <c r="GC128" s="3"/>
      <c r="GD128" s="3"/>
      <c r="GE128" s="3"/>
      <c r="GF128" s="3"/>
      <c r="GG128" s="3"/>
      <c r="GH128" s="3"/>
      <c r="GI128" s="3"/>
      <c r="GJ128" s="3"/>
      <c r="GK128" s="3"/>
      <c r="GL128" s="3"/>
      <c r="GM128" s="3"/>
      <c r="GN128" s="3"/>
      <c r="GO128" s="3"/>
      <c r="GP128" s="3"/>
      <c r="GQ128" s="3"/>
      <c r="GR128" s="3"/>
      <c r="GS128" s="3"/>
      <c r="GT128" s="3"/>
      <c r="GU128" s="3"/>
      <c r="GV128" s="3"/>
      <c r="GW128" s="3"/>
      <c r="GX128" s="3"/>
      <c r="GY128" s="3"/>
      <c r="GZ128" s="3"/>
      <c r="HA128" s="3"/>
      <c r="HB128" s="3"/>
      <c r="HC128" s="3"/>
      <c r="HD128" s="3"/>
      <c r="HE128" s="3"/>
      <c r="HF128" s="3"/>
      <c r="HG128" s="3"/>
      <c r="HH128" s="3"/>
      <c r="HI128" s="3"/>
      <c r="HJ128" s="3"/>
      <c r="HK128" s="3"/>
      <c r="HL128" s="3"/>
      <c r="HM128" s="3"/>
      <c r="HN128" s="3"/>
      <c r="HO128" s="3"/>
      <c r="HP128" s="3"/>
      <c r="HQ128" s="3"/>
      <c r="HR128" s="3"/>
      <c r="HS128" s="3"/>
      <c r="HT128" s="3"/>
      <c r="HU128" s="3"/>
      <c r="HV128" s="3"/>
      <c r="HW128" s="3"/>
      <c r="HX128" s="3"/>
      <c r="HY128" s="3"/>
      <c r="HZ128" s="3"/>
      <c r="IA128" s="3"/>
      <c r="IB128" s="3"/>
      <c r="IC128" s="3"/>
      <c r="ID128" s="3"/>
      <c r="IE128" s="3"/>
      <c r="IF128" s="3"/>
      <c r="IG128" s="3"/>
      <c r="IH128" s="3"/>
      <c r="II128" s="3"/>
      <c r="IJ128" s="3"/>
      <c r="IK128" s="3"/>
      <c r="IL128" s="3"/>
      <c r="IM128" s="3"/>
      <c r="IN128" s="3"/>
      <c r="IO128" s="3"/>
      <c r="IP128" s="3"/>
      <c r="IQ128" s="3"/>
      <c r="IR128" s="3"/>
      <c r="IS128" s="3"/>
      <c r="IT128" s="3"/>
      <c r="IU128" s="3"/>
    </row>
    <row r="129" spans="28:255" x14ac:dyDescent="0.25"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  <c r="HJ129" s="3"/>
      <c r="HK129" s="3"/>
      <c r="HL129" s="3"/>
      <c r="HM129" s="3"/>
      <c r="HN129" s="3"/>
      <c r="HO129" s="3"/>
      <c r="HP129" s="3"/>
      <c r="HQ129" s="3"/>
      <c r="HR129" s="3"/>
      <c r="HS129" s="3"/>
      <c r="HT129" s="3"/>
      <c r="HU129" s="3"/>
      <c r="HV129" s="3"/>
      <c r="HW129" s="3"/>
      <c r="HX129" s="3"/>
      <c r="HY129" s="3"/>
      <c r="HZ129" s="3"/>
      <c r="IA129" s="3"/>
      <c r="IB129" s="3"/>
      <c r="IC129" s="3"/>
      <c r="ID129" s="3"/>
      <c r="IE129" s="3"/>
      <c r="IF129" s="3"/>
      <c r="IG129" s="3"/>
      <c r="IH129" s="3"/>
      <c r="II129" s="3"/>
      <c r="IJ129" s="3"/>
      <c r="IK129" s="3"/>
      <c r="IL129" s="3"/>
      <c r="IM129" s="3"/>
      <c r="IN129" s="3"/>
      <c r="IO129" s="3"/>
      <c r="IP129" s="3"/>
      <c r="IQ129" s="3"/>
      <c r="IR129" s="3"/>
      <c r="IS129" s="3"/>
      <c r="IT129" s="3"/>
      <c r="IU129" s="3"/>
    </row>
    <row r="130" spans="28:255" x14ac:dyDescent="0.25"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</row>
    <row r="131" spans="28:255" x14ac:dyDescent="0.25"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  <c r="HJ131" s="3"/>
      <c r="HK131" s="3"/>
      <c r="HL131" s="3"/>
      <c r="HM131" s="3"/>
      <c r="HN131" s="3"/>
      <c r="HO131" s="3"/>
      <c r="HP131" s="3"/>
      <c r="HQ131" s="3"/>
      <c r="HR131" s="3"/>
      <c r="HS131" s="3"/>
      <c r="HT131" s="3"/>
      <c r="HU131" s="3"/>
      <c r="HV131" s="3"/>
      <c r="HW131" s="3"/>
      <c r="HX131" s="3"/>
      <c r="HY131" s="3"/>
      <c r="HZ131" s="3"/>
      <c r="IA131" s="3"/>
      <c r="IB131" s="3"/>
      <c r="IC131" s="3"/>
      <c r="ID131" s="3"/>
      <c r="IE131" s="3"/>
      <c r="IF131" s="3"/>
      <c r="IG131" s="3"/>
      <c r="IH131" s="3"/>
      <c r="II131" s="3"/>
      <c r="IJ131" s="3"/>
      <c r="IK131" s="3"/>
      <c r="IL131" s="3"/>
      <c r="IM131" s="3"/>
      <c r="IN131" s="3"/>
      <c r="IO131" s="3"/>
      <c r="IP131" s="3"/>
      <c r="IQ131" s="3"/>
      <c r="IR131" s="3"/>
      <c r="IS131" s="3"/>
      <c r="IT131" s="3"/>
      <c r="IU131" s="3"/>
    </row>
    <row r="132" spans="28:255" x14ac:dyDescent="0.25"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</row>
    <row r="133" spans="28:255" x14ac:dyDescent="0.25"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  <c r="HJ133" s="3"/>
      <c r="HK133" s="3"/>
      <c r="HL133" s="3"/>
      <c r="HM133" s="3"/>
      <c r="HN133" s="3"/>
      <c r="HO133" s="3"/>
      <c r="HP133" s="3"/>
      <c r="HQ133" s="3"/>
      <c r="HR133" s="3"/>
      <c r="HS133" s="3"/>
      <c r="HT133" s="3"/>
      <c r="HU133" s="3"/>
      <c r="HV133" s="3"/>
      <c r="HW133" s="3"/>
      <c r="HX133" s="3"/>
      <c r="HY133" s="3"/>
      <c r="HZ133" s="3"/>
      <c r="IA133" s="3"/>
      <c r="IB133" s="3"/>
      <c r="IC133" s="3"/>
      <c r="ID133" s="3"/>
      <c r="IE133" s="3"/>
      <c r="IF133" s="3"/>
      <c r="IG133" s="3"/>
      <c r="IH133" s="3"/>
      <c r="II133" s="3"/>
      <c r="IJ133" s="3"/>
      <c r="IK133" s="3"/>
      <c r="IL133" s="3"/>
      <c r="IM133" s="3"/>
      <c r="IN133" s="3"/>
      <c r="IO133" s="3"/>
      <c r="IP133" s="3"/>
      <c r="IQ133" s="3"/>
      <c r="IR133" s="3"/>
      <c r="IS133" s="3"/>
      <c r="IT133" s="3"/>
      <c r="IU133" s="3"/>
    </row>
    <row r="134" spans="28:255" x14ac:dyDescent="0.25"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</row>
    <row r="135" spans="28:255" x14ac:dyDescent="0.25"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  <c r="HJ135" s="3"/>
      <c r="HK135" s="3"/>
      <c r="HL135" s="3"/>
      <c r="HM135" s="3"/>
      <c r="HN135" s="3"/>
      <c r="HO135" s="3"/>
      <c r="HP135" s="3"/>
      <c r="HQ135" s="3"/>
      <c r="HR135" s="3"/>
      <c r="HS135" s="3"/>
      <c r="HT135" s="3"/>
      <c r="HU135" s="3"/>
      <c r="HV135" s="3"/>
      <c r="HW135" s="3"/>
      <c r="HX135" s="3"/>
      <c r="HY135" s="3"/>
      <c r="HZ135" s="3"/>
      <c r="IA135" s="3"/>
      <c r="IB135" s="3"/>
      <c r="IC135" s="3"/>
      <c r="ID135" s="3"/>
      <c r="IE135" s="3"/>
      <c r="IF135" s="3"/>
      <c r="IG135" s="3"/>
      <c r="IH135" s="3"/>
      <c r="II135" s="3"/>
      <c r="IJ135" s="3"/>
      <c r="IK135" s="3"/>
      <c r="IL135" s="3"/>
      <c r="IM135" s="3"/>
      <c r="IN135" s="3"/>
      <c r="IO135" s="3"/>
      <c r="IP135" s="3"/>
      <c r="IQ135" s="3"/>
      <c r="IR135" s="3"/>
      <c r="IS135" s="3"/>
      <c r="IT135" s="3"/>
      <c r="IU135" s="3"/>
    </row>
    <row r="136" spans="28:255" x14ac:dyDescent="0.25"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</row>
    <row r="137" spans="28:255" x14ac:dyDescent="0.25"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  <c r="HJ137" s="3"/>
      <c r="HK137" s="3"/>
      <c r="HL137" s="3"/>
      <c r="HM137" s="3"/>
      <c r="HN137" s="3"/>
      <c r="HO137" s="3"/>
      <c r="HP137" s="3"/>
      <c r="HQ137" s="3"/>
      <c r="HR137" s="3"/>
      <c r="HS137" s="3"/>
      <c r="HT137" s="3"/>
      <c r="HU137" s="3"/>
      <c r="HV137" s="3"/>
      <c r="HW137" s="3"/>
      <c r="HX137" s="3"/>
      <c r="HY137" s="3"/>
      <c r="HZ137" s="3"/>
      <c r="IA137" s="3"/>
      <c r="IB137" s="3"/>
      <c r="IC137" s="3"/>
      <c r="ID137" s="3"/>
      <c r="IE137" s="3"/>
      <c r="IF137" s="3"/>
      <c r="IG137" s="3"/>
      <c r="IH137" s="3"/>
      <c r="II137" s="3"/>
      <c r="IJ137" s="3"/>
      <c r="IK137" s="3"/>
      <c r="IL137" s="3"/>
      <c r="IM137" s="3"/>
      <c r="IN137" s="3"/>
      <c r="IO137" s="3"/>
      <c r="IP137" s="3"/>
      <c r="IQ137" s="3"/>
      <c r="IR137" s="3"/>
      <c r="IS137" s="3"/>
      <c r="IT137" s="3"/>
      <c r="IU137" s="3"/>
    </row>
    <row r="138" spans="28:255" x14ac:dyDescent="0.25"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</row>
    <row r="139" spans="28:255" x14ac:dyDescent="0.25"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  <c r="DR139" s="3"/>
      <c r="DS139" s="3"/>
      <c r="DT139" s="3"/>
      <c r="DU139" s="3"/>
      <c r="DV139" s="3"/>
      <c r="DW139" s="3"/>
      <c r="DX139" s="3"/>
      <c r="DY139" s="3"/>
      <c r="DZ139" s="3"/>
      <c r="EA139" s="3"/>
      <c r="EB139" s="3"/>
      <c r="EC139" s="3"/>
      <c r="ED139" s="3"/>
      <c r="EE139" s="3"/>
      <c r="EF139" s="3"/>
      <c r="EG139" s="3"/>
      <c r="EH139" s="3"/>
      <c r="EI139" s="3"/>
      <c r="EJ139" s="3"/>
      <c r="EK139" s="3"/>
      <c r="EL139" s="3"/>
      <c r="EM139" s="3"/>
      <c r="EN139" s="3"/>
      <c r="EO139" s="3"/>
      <c r="EP139" s="3"/>
      <c r="EQ139" s="3"/>
      <c r="ER139" s="3"/>
      <c r="ES139" s="3"/>
      <c r="ET139" s="3"/>
      <c r="EU139" s="3"/>
      <c r="EV139" s="3"/>
      <c r="EW139" s="3"/>
      <c r="EX139" s="3"/>
      <c r="EY139" s="3"/>
      <c r="EZ139" s="3"/>
      <c r="FA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  <c r="FZ139" s="3"/>
      <c r="GA139" s="3"/>
      <c r="GB139" s="3"/>
      <c r="GC139" s="3"/>
      <c r="GD139" s="3"/>
      <c r="GE139" s="3"/>
      <c r="GF139" s="3"/>
      <c r="GG139" s="3"/>
      <c r="GH139" s="3"/>
      <c r="GI139" s="3"/>
      <c r="GJ139" s="3"/>
      <c r="GK139" s="3"/>
      <c r="GL139" s="3"/>
      <c r="GM139" s="3"/>
      <c r="GN139" s="3"/>
      <c r="GO139" s="3"/>
      <c r="GP139" s="3"/>
      <c r="GQ139" s="3"/>
      <c r="GR139" s="3"/>
      <c r="GS139" s="3"/>
      <c r="GT139" s="3"/>
      <c r="GU139" s="3"/>
      <c r="GV139" s="3"/>
      <c r="GW139" s="3"/>
      <c r="GX139" s="3"/>
      <c r="GY139" s="3"/>
      <c r="GZ139" s="3"/>
      <c r="HA139" s="3"/>
      <c r="HB139" s="3"/>
      <c r="HC139" s="3"/>
      <c r="HD139" s="3"/>
      <c r="HE139" s="3"/>
      <c r="HF139" s="3"/>
      <c r="HG139" s="3"/>
      <c r="HH139" s="3"/>
      <c r="HI139" s="3"/>
      <c r="HJ139" s="3"/>
      <c r="HK139" s="3"/>
      <c r="HL139" s="3"/>
      <c r="HM139" s="3"/>
      <c r="HN139" s="3"/>
      <c r="HO139" s="3"/>
      <c r="HP139" s="3"/>
      <c r="HQ139" s="3"/>
      <c r="HR139" s="3"/>
      <c r="HS139" s="3"/>
      <c r="HT139" s="3"/>
      <c r="HU139" s="3"/>
      <c r="HV139" s="3"/>
      <c r="HW139" s="3"/>
      <c r="HX139" s="3"/>
      <c r="HY139" s="3"/>
      <c r="HZ139" s="3"/>
      <c r="IA139" s="3"/>
      <c r="IB139" s="3"/>
      <c r="IC139" s="3"/>
      <c r="ID139" s="3"/>
      <c r="IE139" s="3"/>
      <c r="IF139" s="3"/>
      <c r="IG139" s="3"/>
      <c r="IH139" s="3"/>
      <c r="II139" s="3"/>
      <c r="IJ139" s="3"/>
      <c r="IK139" s="3"/>
      <c r="IL139" s="3"/>
      <c r="IM139" s="3"/>
      <c r="IN139" s="3"/>
      <c r="IO139" s="3"/>
      <c r="IP139" s="3"/>
      <c r="IQ139" s="3"/>
      <c r="IR139" s="3"/>
      <c r="IS139" s="3"/>
      <c r="IT139" s="3"/>
      <c r="IU139" s="3"/>
    </row>
    <row r="140" spans="28:255" x14ac:dyDescent="0.25"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</row>
    <row r="141" spans="28:255" x14ac:dyDescent="0.25"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/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/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</row>
    <row r="142" spans="28:255" x14ac:dyDescent="0.25"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</row>
    <row r="143" spans="28:255" x14ac:dyDescent="0.25"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  <c r="HJ143" s="3"/>
      <c r="HK143" s="3"/>
      <c r="HL143" s="3"/>
      <c r="HM143" s="3"/>
      <c r="HN143" s="3"/>
      <c r="HO143" s="3"/>
      <c r="HP143" s="3"/>
      <c r="HQ143" s="3"/>
      <c r="HR143" s="3"/>
      <c r="HS143" s="3"/>
      <c r="HT143" s="3"/>
      <c r="HU143" s="3"/>
      <c r="HV143" s="3"/>
      <c r="HW143" s="3"/>
      <c r="HX143" s="3"/>
      <c r="HY143" s="3"/>
      <c r="HZ143" s="3"/>
      <c r="IA143" s="3"/>
      <c r="IB143" s="3"/>
      <c r="IC143" s="3"/>
      <c r="ID143" s="3"/>
      <c r="IE143" s="3"/>
      <c r="IF143" s="3"/>
      <c r="IG143" s="3"/>
      <c r="IH143" s="3"/>
      <c r="II143" s="3"/>
      <c r="IJ143" s="3"/>
      <c r="IK143" s="3"/>
      <c r="IL143" s="3"/>
      <c r="IM143" s="3"/>
      <c r="IN143" s="3"/>
      <c r="IO143" s="3"/>
      <c r="IP143" s="3"/>
      <c r="IQ143" s="3"/>
      <c r="IR143" s="3"/>
      <c r="IS143" s="3"/>
      <c r="IT143" s="3"/>
      <c r="IU143" s="3"/>
    </row>
    <row r="144" spans="28:255" x14ac:dyDescent="0.25"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</row>
    <row r="145" spans="28:255" x14ac:dyDescent="0.25"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  <c r="HJ145" s="3"/>
      <c r="HK145" s="3"/>
      <c r="HL145" s="3"/>
      <c r="HM145" s="3"/>
      <c r="HN145" s="3"/>
      <c r="HO145" s="3"/>
      <c r="HP145" s="3"/>
      <c r="HQ145" s="3"/>
      <c r="HR145" s="3"/>
      <c r="HS145" s="3"/>
      <c r="HT145" s="3"/>
      <c r="HU145" s="3"/>
      <c r="HV145" s="3"/>
      <c r="HW145" s="3"/>
      <c r="HX145" s="3"/>
      <c r="HY145" s="3"/>
      <c r="HZ145" s="3"/>
      <c r="IA145" s="3"/>
      <c r="IB145" s="3"/>
      <c r="IC145" s="3"/>
      <c r="ID145" s="3"/>
      <c r="IE145" s="3"/>
      <c r="IF145" s="3"/>
      <c r="IG145" s="3"/>
      <c r="IH145" s="3"/>
      <c r="II145" s="3"/>
      <c r="IJ145" s="3"/>
      <c r="IK145" s="3"/>
      <c r="IL145" s="3"/>
      <c r="IM145" s="3"/>
      <c r="IN145" s="3"/>
      <c r="IO145" s="3"/>
      <c r="IP145" s="3"/>
      <c r="IQ145" s="3"/>
      <c r="IR145" s="3"/>
      <c r="IS145" s="3"/>
      <c r="IT145" s="3"/>
      <c r="IU145" s="3"/>
    </row>
    <row r="146" spans="28:255" x14ac:dyDescent="0.25"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</row>
    <row r="147" spans="28:255" x14ac:dyDescent="0.25"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  <c r="HJ147" s="3"/>
      <c r="HK147" s="3"/>
      <c r="HL147" s="3"/>
      <c r="HM147" s="3"/>
      <c r="HN147" s="3"/>
      <c r="HO147" s="3"/>
      <c r="HP147" s="3"/>
      <c r="HQ147" s="3"/>
      <c r="HR147" s="3"/>
      <c r="HS147" s="3"/>
      <c r="HT147" s="3"/>
      <c r="HU147" s="3"/>
      <c r="HV147" s="3"/>
      <c r="HW147" s="3"/>
      <c r="HX147" s="3"/>
      <c r="HY147" s="3"/>
      <c r="HZ147" s="3"/>
      <c r="IA147" s="3"/>
      <c r="IB147" s="3"/>
      <c r="IC147" s="3"/>
      <c r="ID147" s="3"/>
      <c r="IE147" s="3"/>
      <c r="IF147" s="3"/>
      <c r="IG147" s="3"/>
      <c r="IH147" s="3"/>
      <c r="II147" s="3"/>
      <c r="IJ147" s="3"/>
      <c r="IK147" s="3"/>
      <c r="IL147" s="3"/>
      <c r="IM147" s="3"/>
      <c r="IN147" s="3"/>
      <c r="IO147" s="3"/>
      <c r="IP147" s="3"/>
      <c r="IQ147" s="3"/>
      <c r="IR147" s="3"/>
      <c r="IS147" s="3"/>
      <c r="IT147" s="3"/>
      <c r="IU147" s="3"/>
    </row>
    <row r="148" spans="28:255" x14ac:dyDescent="0.25"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</row>
    <row r="149" spans="28:255" x14ac:dyDescent="0.25"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</row>
    <row r="150" spans="28:255" x14ac:dyDescent="0.25"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</row>
    <row r="151" spans="28:255" x14ac:dyDescent="0.25"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  <c r="HJ151" s="3"/>
      <c r="HK151" s="3"/>
      <c r="HL151" s="3"/>
      <c r="HM151" s="3"/>
      <c r="HN151" s="3"/>
      <c r="HO151" s="3"/>
      <c r="HP151" s="3"/>
      <c r="HQ151" s="3"/>
      <c r="HR151" s="3"/>
      <c r="HS151" s="3"/>
      <c r="HT151" s="3"/>
      <c r="HU151" s="3"/>
      <c r="HV151" s="3"/>
      <c r="HW151" s="3"/>
      <c r="HX151" s="3"/>
      <c r="HY151" s="3"/>
      <c r="HZ151" s="3"/>
      <c r="IA151" s="3"/>
      <c r="IB151" s="3"/>
      <c r="IC151" s="3"/>
      <c r="ID151" s="3"/>
      <c r="IE151" s="3"/>
      <c r="IF151" s="3"/>
      <c r="IG151" s="3"/>
      <c r="IH151" s="3"/>
      <c r="II151" s="3"/>
      <c r="IJ151" s="3"/>
      <c r="IK151" s="3"/>
      <c r="IL151" s="3"/>
      <c r="IM151" s="3"/>
      <c r="IN151" s="3"/>
      <c r="IO151" s="3"/>
      <c r="IP151" s="3"/>
      <c r="IQ151" s="3"/>
      <c r="IR151" s="3"/>
      <c r="IS151" s="3"/>
      <c r="IT151" s="3"/>
      <c r="IU151" s="3"/>
    </row>
    <row r="152" spans="28:255" x14ac:dyDescent="0.25"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</row>
    <row r="153" spans="28:255" x14ac:dyDescent="0.25"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  <c r="HJ153" s="3"/>
      <c r="HK153" s="3"/>
      <c r="HL153" s="3"/>
      <c r="HM153" s="3"/>
      <c r="HN153" s="3"/>
      <c r="HO153" s="3"/>
      <c r="HP153" s="3"/>
      <c r="HQ153" s="3"/>
      <c r="HR153" s="3"/>
      <c r="HS153" s="3"/>
      <c r="HT153" s="3"/>
      <c r="HU153" s="3"/>
      <c r="HV153" s="3"/>
      <c r="HW153" s="3"/>
      <c r="HX153" s="3"/>
      <c r="HY153" s="3"/>
      <c r="HZ153" s="3"/>
      <c r="IA153" s="3"/>
      <c r="IB153" s="3"/>
      <c r="IC153" s="3"/>
      <c r="ID153" s="3"/>
      <c r="IE153" s="3"/>
      <c r="IF153" s="3"/>
      <c r="IG153" s="3"/>
      <c r="IH153" s="3"/>
      <c r="II153" s="3"/>
      <c r="IJ153" s="3"/>
      <c r="IK153" s="3"/>
      <c r="IL153" s="3"/>
      <c r="IM153" s="3"/>
      <c r="IN153" s="3"/>
      <c r="IO153" s="3"/>
      <c r="IP153" s="3"/>
      <c r="IQ153" s="3"/>
      <c r="IR153" s="3"/>
      <c r="IS153" s="3"/>
      <c r="IT153" s="3"/>
      <c r="IU153" s="3"/>
    </row>
    <row r="154" spans="28:255" x14ac:dyDescent="0.25"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</row>
    <row r="155" spans="28:255" x14ac:dyDescent="0.25"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  <c r="HJ155" s="3"/>
      <c r="HK155" s="3"/>
      <c r="HL155" s="3"/>
      <c r="HM155" s="3"/>
      <c r="HN155" s="3"/>
      <c r="HO155" s="3"/>
      <c r="HP155" s="3"/>
      <c r="HQ155" s="3"/>
      <c r="HR155" s="3"/>
      <c r="HS155" s="3"/>
      <c r="HT155" s="3"/>
      <c r="HU155" s="3"/>
      <c r="HV155" s="3"/>
      <c r="HW155" s="3"/>
      <c r="HX155" s="3"/>
      <c r="HY155" s="3"/>
      <c r="HZ155" s="3"/>
      <c r="IA155" s="3"/>
      <c r="IB155" s="3"/>
      <c r="IC155" s="3"/>
      <c r="ID155" s="3"/>
      <c r="IE155" s="3"/>
      <c r="IF155" s="3"/>
      <c r="IG155" s="3"/>
      <c r="IH155" s="3"/>
      <c r="II155" s="3"/>
      <c r="IJ155" s="3"/>
      <c r="IK155" s="3"/>
      <c r="IL155" s="3"/>
      <c r="IM155" s="3"/>
      <c r="IN155" s="3"/>
      <c r="IO155" s="3"/>
      <c r="IP155" s="3"/>
      <c r="IQ155" s="3"/>
      <c r="IR155" s="3"/>
      <c r="IS155" s="3"/>
      <c r="IT155" s="3"/>
      <c r="IU155" s="3"/>
    </row>
    <row r="156" spans="28:255" x14ac:dyDescent="0.25"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</row>
    <row r="157" spans="28:255" x14ac:dyDescent="0.25"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  <c r="FZ157" s="3"/>
      <c r="GA157" s="3"/>
      <c r="GB157" s="3"/>
      <c r="GC157" s="3"/>
      <c r="GD157" s="3"/>
      <c r="GE157" s="3"/>
      <c r="GF157" s="3"/>
      <c r="GG157" s="3"/>
      <c r="GH157" s="3"/>
      <c r="GI157" s="3"/>
      <c r="GJ157" s="3"/>
      <c r="GK157" s="3"/>
      <c r="GL157" s="3"/>
      <c r="GM157" s="3"/>
      <c r="GN157" s="3"/>
      <c r="GO157" s="3"/>
      <c r="GP157" s="3"/>
      <c r="GQ157" s="3"/>
      <c r="GR157" s="3"/>
      <c r="GS157" s="3"/>
      <c r="GT157" s="3"/>
      <c r="GU157" s="3"/>
      <c r="GV157" s="3"/>
      <c r="GW157" s="3"/>
      <c r="GX157" s="3"/>
      <c r="GY157" s="3"/>
      <c r="GZ157" s="3"/>
      <c r="HA157" s="3"/>
      <c r="HB157" s="3"/>
      <c r="HC157" s="3"/>
      <c r="HD157" s="3"/>
      <c r="HE157" s="3"/>
      <c r="HF157" s="3"/>
      <c r="HG157" s="3"/>
      <c r="HH157" s="3"/>
      <c r="HI157" s="3"/>
      <c r="HJ157" s="3"/>
      <c r="HK157" s="3"/>
      <c r="HL157" s="3"/>
      <c r="HM157" s="3"/>
      <c r="HN157" s="3"/>
      <c r="HO157" s="3"/>
      <c r="HP157" s="3"/>
      <c r="HQ157" s="3"/>
      <c r="HR157" s="3"/>
      <c r="HS157" s="3"/>
      <c r="HT157" s="3"/>
      <c r="HU157" s="3"/>
      <c r="HV157" s="3"/>
      <c r="HW157" s="3"/>
      <c r="HX157" s="3"/>
      <c r="HY157" s="3"/>
      <c r="HZ157" s="3"/>
      <c r="IA157" s="3"/>
      <c r="IB157" s="3"/>
      <c r="IC157" s="3"/>
      <c r="ID157" s="3"/>
      <c r="IE157" s="3"/>
      <c r="IF157" s="3"/>
      <c r="IG157" s="3"/>
      <c r="IH157" s="3"/>
      <c r="II157" s="3"/>
      <c r="IJ157" s="3"/>
      <c r="IK157" s="3"/>
      <c r="IL157" s="3"/>
      <c r="IM157" s="3"/>
      <c r="IN157" s="3"/>
      <c r="IO157" s="3"/>
      <c r="IP157" s="3"/>
      <c r="IQ157" s="3"/>
      <c r="IR157" s="3"/>
      <c r="IS157" s="3"/>
      <c r="IT157" s="3"/>
      <c r="IU157" s="3"/>
    </row>
    <row r="158" spans="28:255" x14ac:dyDescent="0.25"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</row>
    <row r="159" spans="28:255" x14ac:dyDescent="0.25"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  <c r="HJ159" s="3"/>
      <c r="HK159" s="3"/>
      <c r="HL159" s="3"/>
      <c r="HM159" s="3"/>
      <c r="HN159" s="3"/>
      <c r="HO159" s="3"/>
      <c r="HP159" s="3"/>
      <c r="HQ159" s="3"/>
      <c r="HR159" s="3"/>
      <c r="HS159" s="3"/>
      <c r="HT159" s="3"/>
      <c r="HU159" s="3"/>
      <c r="HV159" s="3"/>
      <c r="HW159" s="3"/>
      <c r="HX159" s="3"/>
      <c r="HY159" s="3"/>
      <c r="HZ159" s="3"/>
      <c r="IA159" s="3"/>
      <c r="IB159" s="3"/>
      <c r="IC159" s="3"/>
      <c r="ID159" s="3"/>
      <c r="IE159" s="3"/>
      <c r="IF159" s="3"/>
      <c r="IG159" s="3"/>
      <c r="IH159" s="3"/>
      <c r="II159" s="3"/>
      <c r="IJ159" s="3"/>
      <c r="IK159" s="3"/>
      <c r="IL159" s="3"/>
      <c r="IM159" s="3"/>
      <c r="IN159" s="3"/>
      <c r="IO159" s="3"/>
      <c r="IP159" s="3"/>
      <c r="IQ159" s="3"/>
      <c r="IR159" s="3"/>
      <c r="IS159" s="3"/>
      <c r="IT159" s="3"/>
      <c r="IU159" s="3"/>
    </row>
    <row r="160" spans="28:255" x14ac:dyDescent="0.25"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</row>
    <row r="161" spans="28:255" x14ac:dyDescent="0.25"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  <c r="HJ161" s="3"/>
      <c r="HK161" s="3"/>
      <c r="HL161" s="3"/>
      <c r="HM161" s="3"/>
      <c r="HN161" s="3"/>
      <c r="HO161" s="3"/>
      <c r="HP161" s="3"/>
      <c r="HQ161" s="3"/>
      <c r="HR161" s="3"/>
      <c r="HS161" s="3"/>
      <c r="HT161" s="3"/>
      <c r="HU161" s="3"/>
      <c r="HV161" s="3"/>
      <c r="HW161" s="3"/>
      <c r="HX161" s="3"/>
      <c r="HY161" s="3"/>
      <c r="HZ161" s="3"/>
      <c r="IA161" s="3"/>
      <c r="IB161" s="3"/>
      <c r="IC161" s="3"/>
      <c r="ID161" s="3"/>
      <c r="IE161" s="3"/>
      <c r="IF161" s="3"/>
      <c r="IG161" s="3"/>
      <c r="IH161" s="3"/>
      <c r="II161" s="3"/>
      <c r="IJ161" s="3"/>
      <c r="IK161" s="3"/>
      <c r="IL161" s="3"/>
      <c r="IM161" s="3"/>
      <c r="IN161" s="3"/>
      <c r="IO161" s="3"/>
      <c r="IP161" s="3"/>
      <c r="IQ161" s="3"/>
      <c r="IR161" s="3"/>
      <c r="IS161" s="3"/>
      <c r="IT161" s="3"/>
      <c r="IU161" s="3"/>
    </row>
    <row r="162" spans="28:255" x14ac:dyDescent="0.25"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</row>
    <row r="163" spans="28:255" x14ac:dyDescent="0.25"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  <c r="HJ163" s="3"/>
      <c r="HK163" s="3"/>
      <c r="HL163" s="3"/>
      <c r="HM163" s="3"/>
      <c r="HN163" s="3"/>
      <c r="HO163" s="3"/>
      <c r="HP163" s="3"/>
      <c r="HQ163" s="3"/>
      <c r="HR163" s="3"/>
      <c r="HS163" s="3"/>
      <c r="HT163" s="3"/>
      <c r="HU163" s="3"/>
      <c r="HV163" s="3"/>
      <c r="HW163" s="3"/>
      <c r="HX163" s="3"/>
      <c r="HY163" s="3"/>
      <c r="HZ163" s="3"/>
      <c r="IA163" s="3"/>
      <c r="IB163" s="3"/>
      <c r="IC163" s="3"/>
      <c r="ID163" s="3"/>
      <c r="IE163" s="3"/>
      <c r="IF163" s="3"/>
      <c r="IG163" s="3"/>
      <c r="IH163" s="3"/>
      <c r="II163" s="3"/>
      <c r="IJ163" s="3"/>
      <c r="IK163" s="3"/>
      <c r="IL163" s="3"/>
      <c r="IM163" s="3"/>
      <c r="IN163" s="3"/>
      <c r="IO163" s="3"/>
      <c r="IP163" s="3"/>
      <c r="IQ163" s="3"/>
      <c r="IR163" s="3"/>
      <c r="IS163" s="3"/>
      <c r="IT163" s="3"/>
      <c r="IU163" s="3"/>
    </row>
    <row r="164" spans="28:255" x14ac:dyDescent="0.25"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</row>
    <row r="165" spans="28:255" x14ac:dyDescent="0.25"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  <c r="HJ165" s="3"/>
      <c r="HK165" s="3"/>
      <c r="HL165" s="3"/>
      <c r="HM165" s="3"/>
      <c r="HN165" s="3"/>
      <c r="HO165" s="3"/>
      <c r="HP165" s="3"/>
      <c r="HQ165" s="3"/>
      <c r="HR165" s="3"/>
      <c r="HS165" s="3"/>
      <c r="HT165" s="3"/>
      <c r="HU165" s="3"/>
      <c r="HV165" s="3"/>
      <c r="HW165" s="3"/>
      <c r="HX165" s="3"/>
      <c r="HY165" s="3"/>
      <c r="HZ165" s="3"/>
      <c r="IA165" s="3"/>
      <c r="IB165" s="3"/>
      <c r="IC165" s="3"/>
      <c r="ID165" s="3"/>
      <c r="IE165" s="3"/>
      <c r="IF165" s="3"/>
      <c r="IG165" s="3"/>
      <c r="IH165" s="3"/>
      <c r="II165" s="3"/>
      <c r="IJ165" s="3"/>
      <c r="IK165" s="3"/>
      <c r="IL165" s="3"/>
      <c r="IM165" s="3"/>
      <c r="IN165" s="3"/>
      <c r="IO165" s="3"/>
      <c r="IP165" s="3"/>
      <c r="IQ165" s="3"/>
      <c r="IR165" s="3"/>
      <c r="IS165" s="3"/>
      <c r="IT165" s="3"/>
      <c r="IU165" s="3"/>
    </row>
    <row r="166" spans="28:255" x14ac:dyDescent="0.25"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</row>
    <row r="167" spans="28:255" x14ac:dyDescent="0.25"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  <c r="HJ167" s="3"/>
      <c r="HK167" s="3"/>
      <c r="HL167" s="3"/>
      <c r="HM167" s="3"/>
      <c r="HN167" s="3"/>
      <c r="HO167" s="3"/>
      <c r="HP167" s="3"/>
      <c r="HQ167" s="3"/>
      <c r="HR167" s="3"/>
      <c r="HS167" s="3"/>
      <c r="HT167" s="3"/>
      <c r="HU167" s="3"/>
      <c r="HV167" s="3"/>
      <c r="HW167" s="3"/>
      <c r="HX167" s="3"/>
      <c r="HY167" s="3"/>
      <c r="HZ167" s="3"/>
      <c r="IA167" s="3"/>
      <c r="IB167" s="3"/>
      <c r="IC167" s="3"/>
      <c r="ID167" s="3"/>
      <c r="IE167" s="3"/>
      <c r="IF167" s="3"/>
      <c r="IG167" s="3"/>
      <c r="IH167" s="3"/>
      <c r="II167" s="3"/>
      <c r="IJ167" s="3"/>
      <c r="IK167" s="3"/>
      <c r="IL167" s="3"/>
      <c r="IM167" s="3"/>
      <c r="IN167" s="3"/>
      <c r="IO167" s="3"/>
      <c r="IP167" s="3"/>
      <c r="IQ167" s="3"/>
      <c r="IR167" s="3"/>
      <c r="IS167" s="3"/>
      <c r="IT167" s="3"/>
      <c r="IU167" s="3"/>
    </row>
    <row r="168" spans="28:255" x14ac:dyDescent="0.25"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</row>
    <row r="169" spans="28:255" x14ac:dyDescent="0.25"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  <c r="HJ169" s="3"/>
      <c r="HK169" s="3"/>
      <c r="HL169" s="3"/>
      <c r="HM169" s="3"/>
      <c r="HN169" s="3"/>
      <c r="HO169" s="3"/>
      <c r="HP169" s="3"/>
      <c r="HQ169" s="3"/>
      <c r="HR169" s="3"/>
      <c r="HS169" s="3"/>
      <c r="HT169" s="3"/>
      <c r="HU169" s="3"/>
      <c r="HV169" s="3"/>
      <c r="HW169" s="3"/>
      <c r="HX169" s="3"/>
      <c r="HY169" s="3"/>
      <c r="HZ169" s="3"/>
      <c r="IA169" s="3"/>
      <c r="IB169" s="3"/>
      <c r="IC169" s="3"/>
      <c r="ID169" s="3"/>
      <c r="IE169" s="3"/>
      <c r="IF169" s="3"/>
      <c r="IG169" s="3"/>
      <c r="IH169" s="3"/>
      <c r="II169" s="3"/>
      <c r="IJ169" s="3"/>
      <c r="IK169" s="3"/>
      <c r="IL169" s="3"/>
      <c r="IM169" s="3"/>
      <c r="IN169" s="3"/>
      <c r="IO169" s="3"/>
      <c r="IP169" s="3"/>
      <c r="IQ169" s="3"/>
      <c r="IR169" s="3"/>
      <c r="IS169" s="3"/>
      <c r="IT169" s="3"/>
      <c r="IU169" s="3"/>
    </row>
    <row r="170" spans="28:255" x14ac:dyDescent="0.25"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</row>
    <row r="171" spans="28:255" x14ac:dyDescent="0.25"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  <c r="HJ171" s="3"/>
      <c r="HK171" s="3"/>
      <c r="HL171" s="3"/>
      <c r="HM171" s="3"/>
      <c r="HN171" s="3"/>
      <c r="HO171" s="3"/>
      <c r="HP171" s="3"/>
      <c r="HQ171" s="3"/>
      <c r="HR171" s="3"/>
      <c r="HS171" s="3"/>
      <c r="HT171" s="3"/>
      <c r="HU171" s="3"/>
      <c r="HV171" s="3"/>
      <c r="HW171" s="3"/>
      <c r="HX171" s="3"/>
      <c r="HY171" s="3"/>
      <c r="HZ171" s="3"/>
      <c r="IA171" s="3"/>
      <c r="IB171" s="3"/>
      <c r="IC171" s="3"/>
      <c r="ID171" s="3"/>
      <c r="IE171" s="3"/>
      <c r="IF171" s="3"/>
      <c r="IG171" s="3"/>
      <c r="IH171" s="3"/>
      <c r="II171" s="3"/>
      <c r="IJ171" s="3"/>
      <c r="IK171" s="3"/>
      <c r="IL171" s="3"/>
      <c r="IM171" s="3"/>
      <c r="IN171" s="3"/>
      <c r="IO171" s="3"/>
      <c r="IP171" s="3"/>
      <c r="IQ171" s="3"/>
      <c r="IR171" s="3"/>
      <c r="IS171" s="3"/>
      <c r="IT171" s="3"/>
      <c r="IU171" s="3"/>
    </row>
    <row r="172" spans="28:255" x14ac:dyDescent="0.25"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</row>
    <row r="173" spans="28:255" x14ac:dyDescent="0.25"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  <c r="HJ173" s="3"/>
      <c r="HK173" s="3"/>
      <c r="HL173" s="3"/>
      <c r="HM173" s="3"/>
      <c r="HN173" s="3"/>
      <c r="HO173" s="3"/>
      <c r="HP173" s="3"/>
      <c r="HQ173" s="3"/>
      <c r="HR173" s="3"/>
      <c r="HS173" s="3"/>
      <c r="HT173" s="3"/>
      <c r="HU173" s="3"/>
      <c r="HV173" s="3"/>
      <c r="HW173" s="3"/>
      <c r="HX173" s="3"/>
      <c r="HY173" s="3"/>
      <c r="HZ173" s="3"/>
      <c r="IA173" s="3"/>
      <c r="IB173" s="3"/>
      <c r="IC173" s="3"/>
      <c r="ID173" s="3"/>
      <c r="IE173" s="3"/>
      <c r="IF173" s="3"/>
      <c r="IG173" s="3"/>
      <c r="IH173" s="3"/>
      <c r="II173" s="3"/>
      <c r="IJ173" s="3"/>
      <c r="IK173" s="3"/>
      <c r="IL173" s="3"/>
      <c r="IM173" s="3"/>
      <c r="IN173" s="3"/>
      <c r="IO173" s="3"/>
      <c r="IP173" s="3"/>
      <c r="IQ173" s="3"/>
      <c r="IR173" s="3"/>
      <c r="IS173" s="3"/>
      <c r="IT173" s="3"/>
      <c r="IU173" s="3"/>
    </row>
    <row r="174" spans="28:255" x14ac:dyDescent="0.25"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</row>
    <row r="175" spans="28:255" x14ac:dyDescent="0.25"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/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/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</row>
    <row r="176" spans="28:255" x14ac:dyDescent="0.25"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</row>
    <row r="177" spans="28:255" x14ac:dyDescent="0.25"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  <c r="HJ177" s="3"/>
      <c r="HK177" s="3"/>
      <c r="HL177" s="3"/>
      <c r="HM177" s="3"/>
      <c r="HN177" s="3"/>
      <c r="HO177" s="3"/>
      <c r="HP177" s="3"/>
      <c r="HQ177" s="3"/>
      <c r="HR177" s="3"/>
      <c r="HS177" s="3"/>
      <c r="HT177" s="3"/>
      <c r="HU177" s="3"/>
      <c r="HV177" s="3"/>
      <c r="HW177" s="3"/>
      <c r="HX177" s="3"/>
      <c r="HY177" s="3"/>
      <c r="HZ177" s="3"/>
      <c r="IA177" s="3"/>
      <c r="IB177" s="3"/>
      <c r="IC177" s="3"/>
      <c r="ID177" s="3"/>
      <c r="IE177" s="3"/>
      <c r="IF177" s="3"/>
      <c r="IG177" s="3"/>
      <c r="IH177" s="3"/>
      <c r="II177" s="3"/>
      <c r="IJ177" s="3"/>
      <c r="IK177" s="3"/>
      <c r="IL177" s="3"/>
      <c r="IM177" s="3"/>
      <c r="IN177" s="3"/>
      <c r="IO177" s="3"/>
      <c r="IP177" s="3"/>
      <c r="IQ177" s="3"/>
      <c r="IR177" s="3"/>
      <c r="IS177" s="3"/>
      <c r="IT177" s="3"/>
      <c r="IU177" s="3"/>
    </row>
    <row r="178" spans="28:255" x14ac:dyDescent="0.25"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</row>
    <row r="179" spans="28:255" x14ac:dyDescent="0.25"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  <c r="HJ179" s="3"/>
      <c r="HK179" s="3"/>
      <c r="HL179" s="3"/>
      <c r="HM179" s="3"/>
      <c r="HN179" s="3"/>
      <c r="HO179" s="3"/>
      <c r="HP179" s="3"/>
      <c r="HQ179" s="3"/>
      <c r="HR179" s="3"/>
      <c r="HS179" s="3"/>
      <c r="HT179" s="3"/>
      <c r="HU179" s="3"/>
      <c r="HV179" s="3"/>
      <c r="HW179" s="3"/>
      <c r="HX179" s="3"/>
      <c r="HY179" s="3"/>
      <c r="HZ179" s="3"/>
      <c r="IA179" s="3"/>
      <c r="IB179" s="3"/>
      <c r="IC179" s="3"/>
      <c r="ID179" s="3"/>
      <c r="IE179" s="3"/>
      <c r="IF179" s="3"/>
      <c r="IG179" s="3"/>
      <c r="IH179" s="3"/>
      <c r="II179" s="3"/>
      <c r="IJ179" s="3"/>
      <c r="IK179" s="3"/>
      <c r="IL179" s="3"/>
      <c r="IM179" s="3"/>
      <c r="IN179" s="3"/>
      <c r="IO179" s="3"/>
      <c r="IP179" s="3"/>
      <c r="IQ179" s="3"/>
      <c r="IR179" s="3"/>
      <c r="IS179" s="3"/>
      <c r="IT179" s="3"/>
      <c r="IU179" s="3"/>
    </row>
    <row r="180" spans="28:255" x14ac:dyDescent="0.25"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</row>
    <row r="181" spans="28:255" x14ac:dyDescent="0.25"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  <c r="HJ181" s="3"/>
      <c r="HK181" s="3"/>
      <c r="HL181" s="3"/>
      <c r="HM181" s="3"/>
      <c r="HN181" s="3"/>
      <c r="HO181" s="3"/>
      <c r="HP181" s="3"/>
      <c r="HQ181" s="3"/>
      <c r="HR181" s="3"/>
      <c r="HS181" s="3"/>
      <c r="HT181" s="3"/>
      <c r="HU181" s="3"/>
      <c r="HV181" s="3"/>
      <c r="HW181" s="3"/>
      <c r="HX181" s="3"/>
      <c r="HY181" s="3"/>
      <c r="HZ181" s="3"/>
      <c r="IA181" s="3"/>
      <c r="IB181" s="3"/>
      <c r="IC181" s="3"/>
      <c r="ID181" s="3"/>
      <c r="IE181" s="3"/>
      <c r="IF181" s="3"/>
      <c r="IG181" s="3"/>
      <c r="IH181" s="3"/>
      <c r="II181" s="3"/>
      <c r="IJ181" s="3"/>
      <c r="IK181" s="3"/>
      <c r="IL181" s="3"/>
      <c r="IM181" s="3"/>
      <c r="IN181" s="3"/>
      <c r="IO181" s="3"/>
      <c r="IP181" s="3"/>
      <c r="IQ181" s="3"/>
      <c r="IR181" s="3"/>
      <c r="IS181" s="3"/>
      <c r="IT181" s="3"/>
      <c r="IU181" s="3"/>
    </row>
    <row r="182" spans="28:255" x14ac:dyDescent="0.25"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</row>
    <row r="183" spans="28:255" x14ac:dyDescent="0.25"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  <c r="HJ183" s="3"/>
      <c r="HK183" s="3"/>
      <c r="HL183" s="3"/>
      <c r="HM183" s="3"/>
      <c r="HN183" s="3"/>
      <c r="HO183" s="3"/>
      <c r="HP183" s="3"/>
      <c r="HQ183" s="3"/>
      <c r="HR183" s="3"/>
      <c r="HS183" s="3"/>
      <c r="HT183" s="3"/>
      <c r="HU183" s="3"/>
      <c r="HV183" s="3"/>
      <c r="HW183" s="3"/>
      <c r="HX183" s="3"/>
      <c r="HY183" s="3"/>
      <c r="HZ183" s="3"/>
      <c r="IA183" s="3"/>
      <c r="IB183" s="3"/>
      <c r="IC183" s="3"/>
      <c r="ID183" s="3"/>
      <c r="IE183" s="3"/>
      <c r="IF183" s="3"/>
      <c r="IG183" s="3"/>
      <c r="IH183" s="3"/>
      <c r="II183" s="3"/>
      <c r="IJ183" s="3"/>
      <c r="IK183" s="3"/>
      <c r="IL183" s="3"/>
      <c r="IM183" s="3"/>
      <c r="IN183" s="3"/>
      <c r="IO183" s="3"/>
      <c r="IP183" s="3"/>
      <c r="IQ183" s="3"/>
      <c r="IR183" s="3"/>
      <c r="IS183" s="3"/>
      <c r="IT183" s="3"/>
      <c r="IU183" s="3"/>
    </row>
    <row r="184" spans="28:255" x14ac:dyDescent="0.25"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</row>
    <row r="185" spans="28:255" x14ac:dyDescent="0.25"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  <c r="HJ185" s="3"/>
      <c r="HK185" s="3"/>
      <c r="HL185" s="3"/>
      <c r="HM185" s="3"/>
      <c r="HN185" s="3"/>
      <c r="HO185" s="3"/>
      <c r="HP185" s="3"/>
      <c r="HQ185" s="3"/>
      <c r="HR185" s="3"/>
      <c r="HS185" s="3"/>
      <c r="HT185" s="3"/>
      <c r="HU185" s="3"/>
      <c r="HV185" s="3"/>
      <c r="HW185" s="3"/>
      <c r="HX185" s="3"/>
      <c r="HY185" s="3"/>
      <c r="HZ185" s="3"/>
      <c r="IA185" s="3"/>
      <c r="IB185" s="3"/>
      <c r="IC185" s="3"/>
      <c r="ID185" s="3"/>
      <c r="IE185" s="3"/>
      <c r="IF185" s="3"/>
      <c r="IG185" s="3"/>
      <c r="IH185" s="3"/>
      <c r="II185" s="3"/>
      <c r="IJ185" s="3"/>
      <c r="IK185" s="3"/>
      <c r="IL185" s="3"/>
      <c r="IM185" s="3"/>
      <c r="IN185" s="3"/>
      <c r="IO185" s="3"/>
      <c r="IP185" s="3"/>
      <c r="IQ185" s="3"/>
      <c r="IR185" s="3"/>
      <c r="IS185" s="3"/>
      <c r="IT185" s="3"/>
      <c r="IU185" s="3"/>
    </row>
    <row r="186" spans="28:255" x14ac:dyDescent="0.25"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</row>
    <row r="187" spans="28:255" x14ac:dyDescent="0.25"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  <c r="HJ187" s="3"/>
      <c r="HK187" s="3"/>
      <c r="HL187" s="3"/>
      <c r="HM187" s="3"/>
      <c r="HN187" s="3"/>
      <c r="HO187" s="3"/>
      <c r="HP187" s="3"/>
      <c r="HQ187" s="3"/>
      <c r="HR187" s="3"/>
      <c r="HS187" s="3"/>
      <c r="HT187" s="3"/>
      <c r="HU187" s="3"/>
      <c r="HV187" s="3"/>
      <c r="HW187" s="3"/>
      <c r="HX187" s="3"/>
      <c r="HY187" s="3"/>
      <c r="HZ187" s="3"/>
      <c r="IA187" s="3"/>
      <c r="IB187" s="3"/>
      <c r="IC187" s="3"/>
      <c r="ID187" s="3"/>
      <c r="IE187" s="3"/>
      <c r="IF187" s="3"/>
      <c r="IG187" s="3"/>
      <c r="IH187" s="3"/>
      <c r="II187" s="3"/>
      <c r="IJ187" s="3"/>
      <c r="IK187" s="3"/>
      <c r="IL187" s="3"/>
      <c r="IM187" s="3"/>
      <c r="IN187" s="3"/>
      <c r="IO187" s="3"/>
      <c r="IP187" s="3"/>
      <c r="IQ187" s="3"/>
      <c r="IR187" s="3"/>
      <c r="IS187" s="3"/>
      <c r="IT187" s="3"/>
      <c r="IU187" s="3"/>
    </row>
    <row r="188" spans="28:255" x14ac:dyDescent="0.25"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</row>
    <row r="189" spans="28:255" x14ac:dyDescent="0.25"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/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/>
      <c r="IN189" s="3"/>
      <c r="IO189" s="3"/>
      <c r="IP189" s="3"/>
      <c r="IQ189" s="3"/>
      <c r="IR189" s="3"/>
      <c r="IS189" s="3"/>
      <c r="IT189" s="3"/>
      <c r="IU189" s="3"/>
    </row>
    <row r="190" spans="28:255" x14ac:dyDescent="0.25"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</row>
    <row r="191" spans="28:255" x14ac:dyDescent="0.25"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  <c r="HJ191" s="3"/>
      <c r="HK191" s="3"/>
      <c r="HL191" s="3"/>
      <c r="HM191" s="3"/>
      <c r="HN191" s="3"/>
      <c r="HO191" s="3"/>
      <c r="HP191" s="3"/>
      <c r="HQ191" s="3"/>
      <c r="HR191" s="3"/>
      <c r="HS191" s="3"/>
      <c r="HT191" s="3"/>
      <c r="HU191" s="3"/>
      <c r="HV191" s="3"/>
      <c r="HW191" s="3"/>
      <c r="HX191" s="3"/>
      <c r="HY191" s="3"/>
      <c r="HZ191" s="3"/>
      <c r="IA191" s="3"/>
      <c r="IB191" s="3"/>
      <c r="IC191" s="3"/>
      <c r="ID191" s="3"/>
      <c r="IE191" s="3"/>
      <c r="IF191" s="3"/>
      <c r="IG191" s="3"/>
      <c r="IH191" s="3"/>
      <c r="II191" s="3"/>
      <c r="IJ191" s="3"/>
      <c r="IK191" s="3"/>
      <c r="IL191" s="3"/>
      <c r="IM191" s="3"/>
      <c r="IN191" s="3"/>
      <c r="IO191" s="3"/>
      <c r="IP191" s="3"/>
      <c r="IQ191" s="3"/>
      <c r="IR191" s="3"/>
      <c r="IS191" s="3"/>
      <c r="IT191" s="3"/>
      <c r="IU191" s="3"/>
    </row>
    <row r="192" spans="28:255" x14ac:dyDescent="0.25"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</row>
    <row r="193" spans="28:255" x14ac:dyDescent="0.25"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  <c r="HJ193" s="3"/>
      <c r="HK193" s="3"/>
      <c r="HL193" s="3"/>
      <c r="HM193" s="3"/>
      <c r="HN193" s="3"/>
      <c r="HO193" s="3"/>
      <c r="HP193" s="3"/>
      <c r="HQ193" s="3"/>
      <c r="HR193" s="3"/>
      <c r="HS193" s="3"/>
      <c r="HT193" s="3"/>
      <c r="HU193" s="3"/>
      <c r="HV193" s="3"/>
      <c r="HW193" s="3"/>
      <c r="HX193" s="3"/>
      <c r="HY193" s="3"/>
      <c r="HZ193" s="3"/>
      <c r="IA193" s="3"/>
      <c r="IB193" s="3"/>
      <c r="IC193" s="3"/>
      <c r="ID193" s="3"/>
      <c r="IE193" s="3"/>
      <c r="IF193" s="3"/>
      <c r="IG193" s="3"/>
      <c r="IH193" s="3"/>
      <c r="II193" s="3"/>
      <c r="IJ193" s="3"/>
      <c r="IK193" s="3"/>
      <c r="IL193" s="3"/>
      <c r="IM193" s="3"/>
      <c r="IN193" s="3"/>
      <c r="IO193" s="3"/>
      <c r="IP193" s="3"/>
      <c r="IQ193" s="3"/>
      <c r="IR193" s="3"/>
      <c r="IS193" s="3"/>
      <c r="IT193" s="3"/>
      <c r="IU193" s="3"/>
    </row>
    <row r="194" spans="28:255" x14ac:dyDescent="0.25"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</row>
    <row r="195" spans="28:255" x14ac:dyDescent="0.25"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  <c r="HJ195" s="3"/>
      <c r="HK195" s="3"/>
      <c r="HL195" s="3"/>
      <c r="HM195" s="3"/>
      <c r="HN195" s="3"/>
      <c r="HO195" s="3"/>
      <c r="HP195" s="3"/>
      <c r="HQ195" s="3"/>
      <c r="HR195" s="3"/>
      <c r="HS195" s="3"/>
      <c r="HT195" s="3"/>
      <c r="HU195" s="3"/>
      <c r="HV195" s="3"/>
      <c r="HW195" s="3"/>
      <c r="HX195" s="3"/>
      <c r="HY195" s="3"/>
      <c r="HZ195" s="3"/>
      <c r="IA195" s="3"/>
      <c r="IB195" s="3"/>
      <c r="IC195" s="3"/>
      <c r="ID195" s="3"/>
      <c r="IE195" s="3"/>
      <c r="IF195" s="3"/>
      <c r="IG195" s="3"/>
      <c r="IH195" s="3"/>
      <c r="II195" s="3"/>
      <c r="IJ195" s="3"/>
      <c r="IK195" s="3"/>
      <c r="IL195" s="3"/>
      <c r="IM195" s="3"/>
      <c r="IN195" s="3"/>
      <c r="IO195" s="3"/>
      <c r="IP195" s="3"/>
      <c r="IQ195" s="3"/>
      <c r="IR195" s="3"/>
      <c r="IS195" s="3"/>
      <c r="IT195" s="3"/>
      <c r="IU195" s="3"/>
    </row>
    <row r="196" spans="28:255" x14ac:dyDescent="0.25"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</row>
    <row r="197" spans="28:255" x14ac:dyDescent="0.25"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  <c r="HJ197" s="3"/>
      <c r="HK197" s="3"/>
      <c r="HL197" s="3"/>
      <c r="HM197" s="3"/>
      <c r="HN197" s="3"/>
      <c r="HO197" s="3"/>
      <c r="HP197" s="3"/>
      <c r="HQ197" s="3"/>
      <c r="HR197" s="3"/>
      <c r="HS197" s="3"/>
      <c r="HT197" s="3"/>
      <c r="HU197" s="3"/>
      <c r="HV197" s="3"/>
      <c r="HW197" s="3"/>
      <c r="HX197" s="3"/>
      <c r="HY197" s="3"/>
      <c r="HZ197" s="3"/>
      <c r="IA197" s="3"/>
      <c r="IB197" s="3"/>
      <c r="IC197" s="3"/>
      <c r="ID197" s="3"/>
      <c r="IE197" s="3"/>
      <c r="IF197" s="3"/>
      <c r="IG197" s="3"/>
      <c r="IH197" s="3"/>
      <c r="II197" s="3"/>
      <c r="IJ197" s="3"/>
      <c r="IK197" s="3"/>
      <c r="IL197" s="3"/>
      <c r="IM197" s="3"/>
      <c r="IN197" s="3"/>
      <c r="IO197" s="3"/>
      <c r="IP197" s="3"/>
      <c r="IQ197" s="3"/>
      <c r="IR197" s="3"/>
      <c r="IS197" s="3"/>
      <c r="IT197" s="3"/>
      <c r="IU197" s="3"/>
    </row>
    <row r="198" spans="28:255" x14ac:dyDescent="0.25"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</row>
    <row r="199" spans="28:255" x14ac:dyDescent="0.25"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  <c r="HJ199" s="3"/>
      <c r="HK199" s="3"/>
      <c r="HL199" s="3"/>
      <c r="HM199" s="3"/>
      <c r="HN199" s="3"/>
      <c r="HO199" s="3"/>
      <c r="HP199" s="3"/>
      <c r="HQ199" s="3"/>
      <c r="HR199" s="3"/>
      <c r="HS199" s="3"/>
      <c r="HT199" s="3"/>
      <c r="HU199" s="3"/>
      <c r="HV199" s="3"/>
      <c r="HW199" s="3"/>
      <c r="HX199" s="3"/>
      <c r="HY199" s="3"/>
      <c r="HZ199" s="3"/>
      <c r="IA199" s="3"/>
      <c r="IB199" s="3"/>
      <c r="IC199" s="3"/>
      <c r="ID199" s="3"/>
      <c r="IE199" s="3"/>
      <c r="IF199" s="3"/>
      <c r="IG199" s="3"/>
      <c r="IH199" s="3"/>
      <c r="II199" s="3"/>
      <c r="IJ199" s="3"/>
      <c r="IK199" s="3"/>
      <c r="IL199" s="3"/>
      <c r="IM199" s="3"/>
      <c r="IN199" s="3"/>
      <c r="IO199" s="3"/>
      <c r="IP199" s="3"/>
      <c r="IQ199" s="3"/>
      <c r="IR199" s="3"/>
      <c r="IS199" s="3"/>
      <c r="IT199" s="3"/>
      <c r="IU199" s="3"/>
    </row>
    <row r="200" spans="28:255" x14ac:dyDescent="0.25"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</row>
    <row r="201" spans="28:255" x14ac:dyDescent="0.25"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  <c r="HJ201" s="3"/>
      <c r="HK201" s="3"/>
      <c r="HL201" s="3"/>
      <c r="HM201" s="3"/>
      <c r="HN201" s="3"/>
      <c r="HO201" s="3"/>
      <c r="HP201" s="3"/>
      <c r="HQ201" s="3"/>
      <c r="HR201" s="3"/>
      <c r="HS201" s="3"/>
      <c r="HT201" s="3"/>
      <c r="HU201" s="3"/>
      <c r="HV201" s="3"/>
      <c r="HW201" s="3"/>
      <c r="HX201" s="3"/>
      <c r="HY201" s="3"/>
      <c r="HZ201" s="3"/>
      <c r="IA201" s="3"/>
      <c r="IB201" s="3"/>
      <c r="IC201" s="3"/>
      <c r="ID201" s="3"/>
      <c r="IE201" s="3"/>
      <c r="IF201" s="3"/>
      <c r="IG201" s="3"/>
      <c r="IH201" s="3"/>
      <c r="II201" s="3"/>
      <c r="IJ201" s="3"/>
      <c r="IK201" s="3"/>
      <c r="IL201" s="3"/>
      <c r="IM201" s="3"/>
      <c r="IN201" s="3"/>
      <c r="IO201" s="3"/>
      <c r="IP201" s="3"/>
      <c r="IQ201" s="3"/>
      <c r="IR201" s="3"/>
      <c r="IS201" s="3"/>
      <c r="IT201" s="3"/>
      <c r="IU201" s="3"/>
    </row>
    <row r="202" spans="28:255" x14ac:dyDescent="0.25"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</row>
    <row r="203" spans="28:255" x14ac:dyDescent="0.25"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</row>
    <row r="204" spans="28:255" x14ac:dyDescent="0.25"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</row>
    <row r="205" spans="28:255" x14ac:dyDescent="0.25"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</row>
    <row r="206" spans="28:255" x14ac:dyDescent="0.25"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</row>
    <row r="207" spans="28:255" x14ac:dyDescent="0.25"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</row>
    <row r="208" spans="28:255" x14ac:dyDescent="0.25"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</row>
    <row r="209" spans="28:255" x14ac:dyDescent="0.25"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</row>
    <row r="210" spans="28:255" x14ac:dyDescent="0.25"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</row>
    <row r="211" spans="28:255" x14ac:dyDescent="0.25"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</row>
    <row r="212" spans="28:255" x14ac:dyDescent="0.25"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</row>
    <row r="213" spans="28:255" x14ac:dyDescent="0.25"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</row>
    <row r="214" spans="28:255" x14ac:dyDescent="0.25"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</row>
    <row r="215" spans="28:255" x14ac:dyDescent="0.25"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  <c r="HJ215" s="3"/>
      <c r="HK215" s="3"/>
      <c r="HL215" s="3"/>
      <c r="HM215" s="3"/>
      <c r="HN215" s="3"/>
      <c r="HO215" s="3"/>
      <c r="HP215" s="3"/>
      <c r="HQ215" s="3"/>
      <c r="HR215" s="3"/>
      <c r="HS215" s="3"/>
      <c r="HT215" s="3"/>
      <c r="HU215" s="3"/>
      <c r="HV215" s="3"/>
      <c r="HW215" s="3"/>
      <c r="HX215" s="3"/>
      <c r="HY215" s="3"/>
      <c r="HZ215" s="3"/>
      <c r="IA215" s="3"/>
      <c r="IB215" s="3"/>
      <c r="IC215" s="3"/>
      <c r="ID215" s="3"/>
      <c r="IE215" s="3"/>
      <c r="IF215" s="3"/>
      <c r="IG215" s="3"/>
      <c r="IH215" s="3"/>
      <c r="II215" s="3"/>
      <c r="IJ215" s="3"/>
      <c r="IK215" s="3"/>
      <c r="IL215" s="3"/>
      <c r="IM215" s="3"/>
      <c r="IN215" s="3"/>
      <c r="IO215" s="3"/>
      <c r="IP215" s="3"/>
      <c r="IQ215" s="3"/>
      <c r="IR215" s="3"/>
      <c r="IS215" s="3"/>
      <c r="IT215" s="3"/>
      <c r="IU215" s="3"/>
    </row>
    <row r="216" spans="28:255" x14ac:dyDescent="0.25"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</row>
    <row r="217" spans="28:255" x14ac:dyDescent="0.25"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  <c r="IA217" s="3"/>
      <c r="IB217" s="3"/>
      <c r="IC217" s="3"/>
      <c r="ID217" s="3"/>
      <c r="IE217" s="3"/>
      <c r="IF217" s="3"/>
      <c r="IG217" s="3"/>
      <c r="IH217" s="3"/>
      <c r="II217" s="3"/>
      <c r="IJ217" s="3"/>
      <c r="IK217" s="3"/>
      <c r="IL217" s="3"/>
      <c r="IM217" s="3"/>
      <c r="IN217" s="3"/>
      <c r="IO217" s="3"/>
      <c r="IP217" s="3"/>
      <c r="IQ217" s="3"/>
      <c r="IR217" s="3"/>
      <c r="IS217" s="3"/>
      <c r="IT217" s="3"/>
      <c r="IU217" s="3"/>
    </row>
    <row r="218" spans="28:255" x14ac:dyDescent="0.25"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</row>
    <row r="219" spans="28:255" x14ac:dyDescent="0.25"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  <c r="IA219" s="3"/>
      <c r="IB219" s="3"/>
      <c r="IC219" s="3"/>
      <c r="ID219" s="3"/>
      <c r="IE219" s="3"/>
      <c r="IF219" s="3"/>
      <c r="IG219" s="3"/>
      <c r="IH219" s="3"/>
      <c r="II219" s="3"/>
      <c r="IJ219" s="3"/>
      <c r="IK219" s="3"/>
      <c r="IL219" s="3"/>
      <c r="IM219" s="3"/>
      <c r="IN219" s="3"/>
      <c r="IO219" s="3"/>
      <c r="IP219" s="3"/>
      <c r="IQ219" s="3"/>
      <c r="IR219" s="3"/>
      <c r="IS219" s="3"/>
      <c r="IT219" s="3"/>
      <c r="IU219" s="3"/>
    </row>
    <row r="220" spans="28:255" x14ac:dyDescent="0.25"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</row>
    <row r="221" spans="28:255" x14ac:dyDescent="0.25"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  <c r="IA221" s="3"/>
      <c r="IB221" s="3"/>
      <c r="IC221" s="3"/>
      <c r="ID221" s="3"/>
      <c r="IE221" s="3"/>
      <c r="IF221" s="3"/>
      <c r="IG221" s="3"/>
      <c r="IH221" s="3"/>
      <c r="II221" s="3"/>
      <c r="IJ221" s="3"/>
      <c r="IK221" s="3"/>
      <c r="IL221" s="3"/>
      <c r="IM221" s="3"/>
      <c r="IN221" s="3"/>
      <c r="IO221" s="3"/>
      <c r="IP221" s="3"/>
      <c r="IQ221" s="3"/>
      <c r="IR221" s="3"/>
      <c r="IS221" s="3"/>
      <c r="IT221" s="3"/>
      <c r="IU221" s="3"/>
    </row>
    <row r="222" spans="28:255" x14ac:dyDescent="0.25"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</row>
    <row r="223" spans="28:255" x14ac:dyDescent="0.25"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  <c r="IA223" s="3"/>
      <c r="IB223" s="3"/>
      <c r="IC223" s="3"/>
      <c r="ID223" s="3"/>
      <c r="IE223" s="3"/>
      <c r="IF223" s="3"/>
      <c r="IG223" s="3"/>
      <c r="IH223" s="3"/>
      <c r="II223" s="3"/>
      <c r="IJ223" s="3"/>
      <c r="IK223" s="3"/>
      <c r="IL223" s="3"/>
      <c r="IM223" s="3"/>
      <c r="IN223" s="3"/>
      <c r="IO223" s="3"/>
      <c r="IP223" s="3"/>
      <c r="IQ223" s="3"/>
      <c r="IR223" s="3"/>
      <c r="IS223" s="3"/>
      <c r="IT223" s="3"/>
      <c r="IU223" s="3"/>
    </row>
    <row r="224" spans="28:255" x14ac:dyDescent="0.25"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</row>
    <row r="225" spans="28:255" x14ac:dyDescent="0.25"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  <c r="IA225" s="3"/>
      <c r="IB225" s="3"/>
      <c r="IC225" s="3"/>
      <c r="ID225" s="3"/>
      <c r="IE225" s="3"/>
      <c r="IF225" s="3"/>
      <c r="IG225" s="3"/>
      <c r="IH225" s="3"/>
      <c r="II225" s="3"/>
      <c r="IJ225" s="3"/>
      <c r="IK225" s="3"/>
      <c r="IL225" s="3"/>
      <c r="IM225" s="3"/>
      <c r="IN225" s="3"/>
      <c r="IO225" s="3"/>
      <c r="IP225" s="3"/>
      <c r="IQ225" s="3"/>
      <c r="IR225" s="3"/>
      <c r="IS225" s="3"/>
      <c r="IT225" s="3"/>
      <c r="IU225" s="3"/>
    </row>
    <row r="226" spans="28:255" x14ac:dyDescent="0.25"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</row>
    <row r="227" spans="28:255" x14ac:dyDescent="0.25"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  <c r="IA227" s="3"/>
      <c r="IB227" s="3"/>
      <c r="IC227" s="3"/>
      <c r="ID227" s="3"/>
      <c r="IE227" s="3"/>
      <c r="IF227" s="3"/>
      <c r="IG227" s="3"/>
      <c r="IH227" s="3"/>
      <c r="II227" s="3"/>
      <c r="IJ227" s="3"/>
      <c r="IK227" s="3"/>
      <c r="IL227" s="3"/>
      <c r="IM227" s="3"/>
      <c r="IN227" s="3"/>
      <c r="IO227" s="3"/>
      <c r="IP227" s="3"/>
      <c r="IQ227" s="3"/>
      <c r="IR227" s="3"/>
      <c r="IS227" s="3"/>
      <c r="IT227" s="3"/>
      <c r="IU227" s="3"/>
    </row>
    <row r="228" spans="28:255" x14ac:dyDescent="0.25"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</row>
    <row r="229" spans="28:255" x14ac:dyDescent="0.25"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  <c r="IA229" s="3"/>
      <c r="IB229" s="3"/>
      <c r="IC229" s="3"/>
      <c r="ID229" s="3"/>
      <c r="IE229" s="3"/>
      <c r="IF229" s="3"/>
      <c r="IG229" s="3"/>
      <c r="IH229" s="3"/>
      <c r="II229" s="3"/>
      <c r="IJ229" s="3"/>
      <c r="IK229" s="3"/>
      <c r="IL229" s="3"/>
      <c r="IM229" s="3"/>
      <c r="IN229" s="3"/>
      <c r="IO229" s="3"/>
      <c r="IP229" s="3"/>
      <c r="IQ229" s="3"/>
      <c r="IR229" s="3"/>
      <c r="IS229" s="3"/>
      <c r="IT229" s="3"/>
      <c r="IU229" s="3"/>
    </row>
    <row r="230" spans="28:255" x14ac:dyDescent="0.25"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</row>
    <row r="231" spans="28:255" x14ac:dyDescent="0.25"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  <c r="IA231" s="3"/>
      <c r="IB231" s="3"/>
      <c r="IC231" s="3"/>
      <c r="ID231" s="3"/>
      <c r="IE231" s="3"/>
      <c r="IF231" s="3"/>
      <c r="IG231" s="3"/>
      <c r="IH231" s="3"/>
      <c r="II231" s="3"/>
      <c r="IJ231" s="3"/>
      <c r="IK231" s="3"/>
      <c r="IL231" s="3"/>
      <c r="IM231" s="3"/>
      <c r="IN231" s="3"/>
      <c r="IO231" s="3"/>
      <c r="IP231" s="3"/>
      <c r="IQ231" s="3"/>
      <c r="IR231" s="3"/>
      <c r="IS231" s="3"/>
      <c r="IT231" s="3"/>
      <c r="IU231" s="3"/>
    </row>
    <row r="232" spans="28:255" x14ac:dyDescent="0.25"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</row>
    <row r="233" spans="28:255" x14ac:dyDescent="0.25"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  <c r="IA233" s="3"/>
      <c r="IB233" s="3"/>
      <c r="IC233" s="3"/>
      <c r="ID233" s="3"/>
      <c r="IE233" s="3"/>
      <c r="IF233" s="3"/>
      <c r="IG233" s="3"/>
      <c r="IH233" s="3"/>
      <c r="II233" s="3"/>
      <c r="IJ233" s="3"/>
      <c r="IK233" s="3"/>
      <c r="IL233" s="3"/>
      <c r="IM233" s="3"/>
      <c r="IN233" s="3"/>
      <c r="IO233" s="3"/>
      <c r="IP233" s="3"/>
      <c r="IQ233" s="3"/>
      <c r="IR233" s="3"/>
      <c r="IS233" s="3"/>
      <c r="IT233" s="3"/>
      <c r="IU233" s="3"/>
    </row>
    <row r="234" spans="28:255" x14ac:dyDescent="0.25"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</row>
    <row r="235" spans="28:255" x14ac:dyDescent="0.25"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  <c r="IA235" s="3"/>
      <c r="IB235" s="3"/>
      <c r="IC235" s="3"/>
      <c r="ID235" s="3"/>
      <c r="IE235" s="3"/>
      <c r="IF235" s="3"/>
      <c r="IG235" s="3"/>
      <c r="IH235" s="3"/>
      <c r="II235" s="3"/>
      <c r="IJ235" s="3"/>
      <c r="IK235" s="3"/>
      <c r="IL235" s="3"/>
      <c r="IM235" s="3"/>
      <c r="IN235" s="3"/>
      <c r="IO235" s="3"/>
      <c r="IP235" s="3"/>
      <c r="IQ235" s="3"/>
      <c r="IR235" s="3"/>
      <c r="IS235" s="3"/>
      <c r="IT235" s="3"/>
      <c r="IU235" s="3"/>
    </row>
    <row r="236" spans="28:255" x14ac:dyDescent="0.25"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</row>
    <row r="237" spans="28:255" x14ac:dyDescent="0.25"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  <c r="IA237" s="3"/>
      <c r="IB237" s="3"/>
      <c r="IC237" s="3"/>
      <c r="ID237" s="3"/>
      <c r="IE237" s="3"/>
      <c r="IF237" s="3"/>
      <c r="IG237" s="3"/>
      <c r="IH237" s="3"/>
      <c r="II237" s="3"/>
      <c r="IJ237" s="3"/>
      <c r="IK237" s="3"/>
      <c r="IL237" s="3"/>
      <c r="IM237" s="3"/>
      <c r="IN237" s="3"/>
      <c r="IO237" s="3"/>
      <c r="IP237" s="3"/>
      <c r="IQ237" s="3"/>
      <c r="IR237" s="3"/>
      <c r="IS237" s="3"/>
      <c r="IT237" s="3"/>
      <c r="IU237" s="3"/>
    </row>
    <row r="238" spans="28:255" x14ac:dyDescent="0.25"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</row>
    <row r="239" spans="28:255" x14ac:dyDescent="0.25"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  <c r="IA239" s="3"/>
      <c r="IB239" s="3"/>
      <c r="IC239" s="3"/>
      <c r="ID239" s="3"/>
      <c r="IE239" s="3"/>
      <c r="IF239" s="3"/>
      <c r="IG239" s="3"/>
      <c r="IH239" s="3"/>
      <c r="II239" s="3"/>
      <c r="IJ239" s="3"/>
      <c r="IK239" s="3"/>
      <c r="IL239" s="3"/>
      <c r="IM239" s="3"/>
      <c r="IN239" s="3"/>
      <c r="IO239" s="3"/>
      <c r="IP239" s="3"/>
      <c r="IQ239" s="3"/>
      <c r="IR239" s="3"/>
      <c r="IS239" s="3"/>
      <c r="IT239" s="3"/>
      <c r="IU239" s="3"/>
    </row>
    <row r="240" spans="28:255" x14ac:dyDescent="0.25"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</row>
    <row r="241" spans="28:255" x14ac:dyDescent="0.25"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  <c r="IA241" s="3"/>
      <c r="IB241" s="3"/>
      <c r="IC241" s="3"/>
      <c r="ID241" s="3"/>
      <c r="IE241" s="3"/>
      <c r="IF241" s="3"/>
      <c r="IG241" s="3"/>
      <c r="IH241" s="3"/>
      <c r="II241" s="3"/>
      <c r="IJ241" s="3"/>
      <c r="IK241" s="3"/>
      <c r="IL241" s="3"/>
      <c r="IM241" s="3"/>
      <c r="IN241" s="3"/>
      <c r="IO241" s="3"/>
      <c r="IP241" s="3"/>
      <c r="IQ241" s="3"/>
      <c r="IR241" s="3"/>
      <c r="IS241" s="3"/>
      <c r="IT241" s="3"/>
      <c r="IU241" s="3"/>
    </row>
    <row r="242" spans="28:255" x14ac:dyDescent="0.25"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  <c r="IA242" s="3"/>
      <c r="IB242" s="3"/>
      <c r="IC242" s="3"/>
      <c r="ID242" s="3"/>
      <c r="IE242" s="3"/>
      <c r="IF242" s="3"/>
      <c r="IG242" s="3"/>
      <c r="IH242" s="3"/>
      <c r="II242" s="3"/>
      <c r="IJ242" s="3"/>
      <c r="IK242" s="3"/>
      <c r="IL242" s="3"/>
      <c r="IM242" s="3"/>
      <c r="IN242" s="3"/>
      <c r="IO242" s="3"/>
      <c r="IP242" s="3"/>
      <c r="IQ242" s="3"/>
      <c r="IR242" s="3"/>
      <c r="IS242" s="3"/>
      <c r="IT242" s="3"/>
      <c r="IU242" s="3"/>
    </row>
    <row r="243" spans="28:255" x14ac:dyDescent="0.25"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  <c r="IA243" s="3"/>
      <c r="IB243" s="3"/>
      <c r="IC243" s="3"/>
      <c r="ID243" s="3"/>
      <c r="IE243" s="3"/>
      <c r="IF243" s="3"/>
      <c r="IG243" s="3"/>
      <c r="IH243" s="3"/>
      <c r="II243" s="3"/>
      <c r="IJ243" s="3"/>
      <c r="IK243" s="3"/>
      <c r="IL243" s="3"/>
      <c r="IM243" s="3"/>
      <c r="IN243" s="3"/>
      <c r="IO243" s="3"/>
      <c r="IP243" s="3"/>
      <c r="IQ243" s="3"/>
      <c r="IR243" s="3"/>
      <c r="IS243" s="3"/>
      <c r="IT243" s="3"/>
      <c r="IU243" s="3"/>
    </row>
    <row r="244" spans="28:255" x14ac:dyDescent="0.25"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  <c r="IA244" s="3"/>
      <c r="IB244" s="3"/>
      <c r="IC244" s="3"/>
      <c r="ID244" s="3"/>
      <c r="IE244" s="3"/>
      <c r="IF244" s="3"/>
      <c r="IG244" s="3"/>
      <c r="IH244" s="3"/>
      <c r="II244" s="3"/>
      <c r="IJ244" s="3"/>
      <c r="IK244" s="3"/>
      <c r="IL244" s="3"/>
      <c r="IM244" s="3"/>
      <c r="IN244" s="3"/>
      <c r="IO244" s="3"/>
      <c r="IP244" s="3"/>
      <c r="IQ244" s="3"/>
      <c r="IR244" s="3"/>
      <c r="IS244" s="3"/>
      <c r="IT244" s="3"/>
      <c r="IU244" s="3"/>
    </row>
    <row r="245" spans="28:255" x14ac:dyDescent="0.25"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  <c r="IA245" s="3"/>
      <c r="IB245" s="3"/>
      <c r="IC245" s="3"/>
      <c r="ID245" s="3"/>
      <c r="IE245" s="3"/>
      <c r="IF245" s="3"/>
      <c r="IG245" s="3"/>
      <c r="IH245" s="3"/>
      <c r="II245" s="3"/>
      <c r="IJ245" s="3"/>
      <c r="IK245" s="3"/>
      <c r="IL245" s="3"/>
      <c r="IM245" s="3"/>
      <c r="IN245" s="3"/>
      <c r="IO245" s="3"/>
      <c r="IP245" s="3"/>
      <c r="IQ245" s="3"/>
      <c r="IR245" s="3"/>
      <c r="IS245" s="3"/>
      <c r="IT245" s="3"/>
      <c r="IU245" s="3"/>
    </row>
    <row r="246" spans="28:255" x14ac:dyDescent="0.25"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  <c r="IA246" s="3"/>
      <c r="IB246" s="3"/>
      <c r="IC246" s="3"/>
      <c r="ID246" s="3"/>
      <c r="IE246" s="3"/>
      <c r="IF246" s="3"/>
      <c r="IG246" s="3"/>
      <c r="IH246" s="3"/>
      <c r="II246" s="3"/>
      <c r="IJ246" s="3"/>
      <c r="IK246" s="3"/>
      <c r="IL246" s="3"/>
      <c r="IM246" s="3"/>
      <c r="IN246" s="3"/>
      <c r="IO246" s="3"/>
      <c r="IP246" s="3"/>
      <c r="IQ246" s="3"/>
      <c r="IR246" s="3"/>
      <c r="IS246" s="3"/>
      <c r="IT246" s="3"/>
      <c r="IU246" s="3"/>
    </row>
    <row r="247" spans="28:255" x14ac:dyDescent="0.25"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/>
      <c r="IL247" s="3"/>
      <c r="IM247" s="3"/>
      <c r="IN247" s="3"/>
      <c r="IO247" s="3"/>
      <c r="IP247" s="3"/>
      <c r="IQ247" s="3"/>
      <c r="IR247" s="3"/>
      <c r="IS247" s="3"/>
      <c r="IT247" s="3"/>
      <c r="IU247" s="3"/>
    </row>
    <row r="248" spans="28:255" x14ac:dyDescent="0.25"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  <c r="IA248" s="3"/>
      <c r="IB248" s="3"/>
      <c r="IC248" s="3"/>
      <c r="ID248" s="3"/>
      <c r="IE248" s="3"/>
      <c r="IF248" s="3"/>
      <c r="IG248" s="3"/>
      <c r="IH248" s="3"/>
      <c r="II248" s="3"/>
      <c r="IJ248" s="3"/>
      <c r="IK248" s="3"/>
      <c r="IL248" s="3"/>
      <c r="IM248" s="3"/>
      <c r="IN248" s="3"/>
      <c r="IO248" s="3"/>
      <c r="IP248" s="3"/>
      <c r="IQ248" s="3"/>
      <c r="IR248" s="3"/>
      <c r="IS248" s="3"/>
      <c r="IT248" s="3"/>
      <c r="IU248" s="3"/>
    </row>
    <row r="249" spans="28:255" x14ac:dyDescent="0.25"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3"/>
      <c r="IN249" s="3"/>
      <c r="IO249" s="3"/>
      <c r="IP249" s="3"/>
      <c r="IQ249" s="3"/>
      <c r="IR249" s="3"/>
      <c r="IS249" s="3"/>
      <c r="IT249" s="3"/>
      <c r="IU249" s="3"/>
    </row>
    <row r="250" spans="28:255" x14ac:dyDescent="0.25"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3"/>
      <c r="IN250" s="3"/>
      <c r="IO250" s="3"/>
      <c r="IP250" s="3"/>
      <c r="IQ250" s="3"/>
      <c r="IR250" s="3"/>
      <c r="IS250" s="3"/>
      <c r="IT250" s="3"/>
      <c r="IU250" s="3"/>
    </row>
    <row r="251" spans="28:255" x14ac:dyDescent="0.25"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  <c r="IA251" s="3"/>
      <c r="IB251" s="3"/>
      <c r="IC251" s="3"/>
      <c r="ID251" s="3"/>
      <c r="IE251" s="3"/>
      <c r="IF251" s="3"/>
      <c r="IG251" s="3"/>
      <c r="IH251" s="3"/>
      <c r="II251" s="3"/>
      <c r="IJ251" s="3"/>
      <c r="IK251" s="3"/>
      <c r="IL251" s="3"/>
      <c r="IM251" s="3"/>
      <c r="IN251" s="3"/>
      <c r="IO251" s="3"/>
      <c r="IP251" s="3"/>
      <c r="IQ251" s="3"/>
      <c r="IR251" s="3"/>
      <c r="IS251" s="3"/>
      <c r="IT251" s="3"/>
      <c r="IU251" s="3"/>
    </row>
    <row r="252" spans="28:255" x14ac:dyDescent="0.25"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  <c r="IA252" s="3"/>
      <c r="IB252" s="3"/>
      <c r="IC252" s="3"/>
      <c r="ID252" s="3"/>
      <c r="IE252" s="3"/>
      <c r="IF252" s="3"/>
      <c r="IG252" s="3"/>
      <c r="IH252" s="3"/>
      <c r="II252" s="3"/>
      <c r="IJ252" s="3"/>
      <c r="IK252" s="3"/>
      <c r="IL252" s="3"/>
      <c r="IM252" s="3"/>
      <c r="IN252" s="3"/>
      <c r="IO252" s="3"/>
      <c r="IP252" s="3"/>
      <c r="IQ252" s="3"/>
      <c r="IR252" s="3"/>
      <c r="IS252" s="3"/>
      <c r="IT252" s="3"/>
      <c r="IU252" s="3"/>
    </row>
    <row r="253" spans="28:255" x14ac:dyDescent="0.25"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  <c r="IA253" s="3"/>
      <c r="IB253" s="3"/>
      <c r="IC253" s="3"/>
      <c r="ID253" s="3"/>
      <c r="IE253" s="3"/>
      <c r="IF253" s="3"/>
      <c r="IG253" s="3"/>
      <c r="IH253" s="3"/>
      <c r="II253" s="3"/>
      <c r="IJ253" s="3"/>
      <c r="IK253" s="3"/>
      <c r="IL253" s="3"/>
      <c r="IM253" s="3"/>
      <c r="IN253" s="3"/>
      <c r="IO253" s="3"/>
      <c r="IP253" s="3"/>
      <c r="IQ253" s="3"/>
      <c r="IR253" s="3"/>
      <c r="IS253" s="3"/>
      <c r="IT253" s="3"/>
      <c r="IU253" s="3"/>
    </row>
    <row r="254" spans="28:255" x14ac:dyDescent="0.25"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/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</row>
    <row r="255" spans="28:255" x14ac:dyDescent="0.25"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  <c r="IA255" s="3"/>
      <c r="IB255" s="3"/>
      <c r="IC255" s="3"/>
      <c r="ID255" s="3"/>
      <c r="IE255" s="3"/>
      <c r="IF255" s="3"/>
      <c r="IG255" s="3"/>
      <c r="IH255" s="3"/>
      <c r="II255" s="3"/>
      <c r="IJ255" s="3"/>
      <c r="IK255" s="3"/>
      <c r="IL255" s="3"/>
      <c r="IM255" s="3"/>
      <c r="IN255" s="3"/>
      <c r="IO255" s="3"/>
      <c r="IP255" s="3"/>
      <c r="IQ255" s="3"/>
      <c r="IR255" s="3"/>
      <c r="IS255" s="3"/>
      <c r="IT255" s="3"/>
      <c r="IU255" s="3"/>
    </row>
    <row r="256" spans="28:255" x14ac:dyDescent="0.25"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  <c r="IA256" s="3"/>
      <c r="IB256" s="3"/>
      <c r="IC256" s="3"/>
      <c r="ID256" s="3"/>
      <c r="IE256" s="3"/>
      <c r="IF256" s="3"/>
      <c r="IG256" s="3"/>
      <c r="IH256" s="3"/>
      <c r="II256" s="3"/>
      <c r="IJ256" s="3"/>
      <c r="IK256" s="3"/>
      <c r="IL256" s="3"/>
      <c r="IM256" s="3"/>
      <c r="IN256" s="3"/>
      <c r="IO256" s="3"/>
      <c r="IP256" s="3"/>
      <c r="IQ256" s="3"/>
      <c r="IR256" s="3"/>
      <c r="IS256" s="3"/>
      <c r="IT256" s="3"/>
      <c r="IU256" s="3"/>
    </row>
    <row r="257" spans="28:255" x14ac:dyDescent="0.25"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  <c r="IA257" s="3"/>
      <c r="IB257" s="3"/>
      <c r="IC257" s="3"/>
      <c r="ID257" s="3"/>
      <c r="IE257" s="3"/>
      <c r="IF257" s="3"/>
      <c r="IG257" s="3"/>
      <c r="IH257" s="3"/>
      <c r="II257" s="3"/>
      <c r="IJ257" s="3"/>
      <c r="IK257" s="3"/>
      <c r="IL257" s="3"/>
      <c r="IM257" s="3"/>
      <c r="IN257" s="3"/>
      <c r="IO257" s="3"/>
      <c r="IP257" s="3"/>
      <c r="IQ257" s="3"/>
      <c r="IR257" s="3"/>
      <c r="IS257" s="3"/>
      <c r="IT257" s="3"/>
      <c r="IU257" s="3"/>
    </row>
    <row r="258" spans="28:255" x14ac:dyDescent="0.25"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  <c r="IA258" s="3"/>
      <c r="IB258" s="3"/>
      <c r="IC258" s="3"/>
      <c r="ID258" s="3"/>
      <c r="IE258" s="3"/>
      <c r="IF258" s="3"/>
      <c r="IG258" s="3"/>
      <c r="IH258" s="3"/>
      <c r="II258" s="3"/>
      <c r="IJ258" s="3"/>
      <c r="IK258" s="3"/>
      <c r="IL258" s="3"/>
      <c r="IM258" s="3"/>
      <c r="IN258" s="3"/>
      <c r="IO258" s="3"/>
      <c r="IP258" s="3"/>
      <c r="IQ258" s="3"/>
      <c r="IR258" s="3"/>
      <c r="IS258" s="3"/>
      <c r="IT258" s="3"/>
      <c r="IU258" s="3"/>
    </row>
    <row r="259" spans="28:255" x14ac:dyDescent="0.25"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  <c r="IA259" s="3"/>
      <c r="IB259" s="3"/>
      <c r="IC259" s="3"/>
      <c r="ID259" s="3"/>
      <c r="IE259" s="3"/>
      <c r="IF259" s="3"/>
      <c r="IG259" s="3"/>
      <c r="IH259" s="3"/>
      <c r="II259" s="3"/>
      <c r="IJ259" s="3"/>
      <c r="IK259" s="3"/>
      <c r="IL259" s="3"/>
      <c r="IM259" s="3"/>
      <c r="IN259" s="3"/>
      <c r="IO259" s="3"/>
      <c r="IP259" s="3"/>
      <c r="IQ259" s="3"/>
      <c r="IR259" s="3"/>
      <c r="IS259" s="3"/>
      <c r="IT259" s="3"/>
      <c r="IU259" s="3"/>
    </row>
    <row r="260" spans="28:255" x14ac:dyDescent="0.25"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  <c r="IA260" s="3"/>
      <c r="IB260" s="3"/>
      <c r="IC260" s="3"/>
      <c r="ID260" s="3"/>
      <c r="IE260" s="3"/>
      <c r="IF260" s="3"/>
      <c r="IG260" s="3"/>
      <c r="IH260" s="3"/>
      <c r="II260" s="3"/>
      <c r="IJ260" s="3"/>
      <c r="IK260" s="3"/>
      <c r="IL260" s="3"/>
      <c r="IM260" s="3"/>
      <c r="IN260" s="3"/>
      <c r="IO260" s="3"/>
      <c r="IP260" s="3"/>
      <c r="IQ260" s="3"/>
      <c r="IR260" s="3"/>
      <c r="IS260" s="3"/>
      <c r="IT260" s="3"/>
      <c r="IU260" s="3"/>
    </row>
    <row r="261" spans="28:255" x14ac:dyDescent="0.25"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/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</row>
    <row r="262" spans="28:255" x14ac:dyDescent="0.25"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  <c r="IA262" s="3"/>
      <c r="IB262" s="3"/>
      <c r="IC262" s="3"/>
      <c r="ID262" s="3"/>
      <c r="IE262" s="3"/>
      <c r="IF262" s="3"/>
      <c r="IG262" s="3"/>
      <c r="IH262" s="3"/>
      <c r="II262" s="3"/>
      <c r="IJ262" s="3"/>
      <c r="IK262" s="3"/>
      <c r="IL262" s="3"/>
      <c r="IM262" s="3"/>
      <c r="IN262" s="3"/>
      <c r="IO262" s="3"/>
      <c r="IP262" s="3"/>
      <c r="IQ262" s="3"/>
      <c r="IR262" s="3"/>
      <c r="IS262" s="3"/>
      <c r="IT262" s="3"/>
      <c r="IU262" s="3"/>
    </row>
    <row r="263" spans="28:255" x14ac:dyDescent="0.25"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  <c r="IA263" s="3"/>
      <c r="IB263" s="3"/>
      <c r="IC263" s="3"/>
      <c r="ID263" s="3"/>
      <c r="IE263" s="3"/>
      <c r="IF263" s="3"/>
      <c r="IG263" s="3"/>
      <c r="IH263" s="3"/>
      <c r="II263" s="3"/>
      <c r="IJ263" s="3"/>
      <c r="IK263" s="3"/>
      <c r="IL263" s="3"/>
      <c r="IM263" s="3"/>
      <c r="IN263" s="3"/>
      <c r="IO263" s="3"/>
      <c r="IP263" s="3"/>
      <c r="IQ263" s="3"/>
      <c r="IR263" s="3"/>
      <c r="IS263" s="3"/>
      <c r="IT263" s="3"/>
      <c r="IU263" s="3"/>
    </row>
    <row r="264" spans="28:255" x14ac:dyDescent="0.25"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  <c r="IA264" s="3"/>
      <c r="IB264" s="3"/>
      <c r="IC264" s="3"/>
      <c r="ID264" s="3"/>
      <c r="IE264" s="3"/>
      <c r="IF264" s="3"/>
      <c r="IG264" s="3"/>
      <c r="IH264" s="3"/>
      <c r="II264" s="3"/>
      <c r="IJ264" s="3"/>
      <c r="IK264" s="3"/>
      <c r="IL264" s="3"/>
      <c r="IM264" s="3"/>
      <c r="IN264" s="3"/>
      <c r="IO264" s="3"/>
      <c r="IP264" s="3"/>
      <c r="IQ264" s="3"/>
      <c r="IR264" s="3"/>
      <c r="IS264" s="3"/>
      <c r="IT264" s="3"/>
      <c r="IU264" s="3"/>
    </row>
    <row r="265" spans="28:255" x14ac:dyDescent="0.25"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  <c r="IA265" s="3"/>
      <c r="IB265" s="3"/>
      <c r="IC265" s="3"/>
      <c r="ID265" s="3"/>
      <c r="IE265" s="3"/>
      <c r="IF265" s="3"/>
      <c r="IG265" s="3"/>
      <c r="IH265" s="3"/>
      <c r="II265" s="3"/>
      <c r="IJ265" s="3"/>
      <c r="IK265" s="3"/>
      <c r="IL265" s="3"/>
      <c r="IM265" s="3"/>
      <c r="IN265" s="3"/>
      <c r="IO265" s="3"/>
      <c r="IP265" s="3"/>
      <c r="IQ265" s="3"/>
      <c r="IR265" s="3"/>
      <c r="IS265" s="3"/>
      <c r="IT265" s="3"/>
      <c r="IU265" s="3"/>
    </row>
  </sheetData>
  <mergeCells count="62">
    <mergeCell ref="A54:E54"/>
    <mergeCell ref="F54:O54"/>
    <mergeCell ref="P54:Z54"/>
    <mergeCell ref="K46:M46"/>
    <mergeCell ref="N46:T46"/>
    <mergeCell ref="U45:Z45"/>
    <mergeCell ref="A53:E53"/>
    <mergeCell ref="F53:O53"/>
    <mergeCell ref="P53:Z53"/>
    <mergeCell ref="A47:D47"/>
    <mergeCell ref="E47:J47"/>
    <mergeCell ref="K47:M47"/>
    <mergeCell ref="N47:T47"/>
    <mergeCell ref="U47:Z47"/>
    <mergeCell ref="A46:D46"/>
    <mergeCell ref="E46:J46"/>
    <mergeCell ref="U46:Z46"/>
    <mergeCell ref="N42:T42"/>
    <mergeCell ref="A41:D41"/>
    <mergeCell ref="N41:T41"/>
    <mergeCell ref="A45:D45"/>
    <mergeCell ref="E45:J45"/>
    <mergeCell ref="K45:M45"/>
    <mergeCell ref="N45:T45"/>
    <mergeCell ref="K40:M40"/>
    <mergeCell ref="N40:T40"/>
    <mergeCell ref="U40:Z40"/>
    <mergeCell ref="B26:Z26"/>
    <mergeCell ref="B28:Z28"/>
    <mergeCell ref="B30:Z30"/>
    <mergeCell ref="B32:Z32"/>
    <mergeCell ref="B16:Z16"/>
    <mergeCell ref="B18:Z18"/>
    <mergeCell ref="B20:Z20"/>
    <mergeCell ref="B24:Z24"/>
    <mergeCell ref="B22:Z22"/>
    <mergeCell ref="A14:Z14"/>
    <mergeCell ref="A1:I3"/>
    <mergeCell ref="A4:I5"/>
    <mergeCell ref="A6:I8"/>
    <mergeCell ref="A9:I11"/>
    <mergeCell ref="S1:Z3"/>
    <mergeCell ref="S5:Z5"/>
    <mergeCell ref="S7:Z7"/>
    <mergeCell ref="S9:Z9"/>
    <mergeCell ref="A13:Z13"/>
    <mergeCell ref="B56:Z56"/>
    <mergeCell ref="U39:Z39"/>
    <mergeCell ref="N44:T44"/>
    <mergeCell ref="A44:D44"/>
    <mergeCell ref="A40:D40"/>
    <mergeCell ref="A39:D39"/>
    <mergeCell ref="E39:J39"/>
    <mergeCell ref="K39:M39"/>
    <mergeCell ref="N39:T39"/>
    <mergeCell ref="A43:D43"/>
    <mergeCell ref="N43:T43"/>
    <mergeCell ref="E41:J44"/>
    <mergeCell ref="K41:M44"/>
    <mergeCell ref="U41:Z44"/>
    <mergeCell ref="A42:D42"/>
    <mergeCell ref="E40:J40"/>
  </mergeCells>
  <phoneticPr fontId="6" type="noConversion"/>
  <pageMargins left="0.7" right="0.42572463768115942" top="0.75" bottom="0.75" header="0.3" footer="0.3"/>
  <pageSetup paperSize="9" orientation="landscape" r:id="rId1"/>
  <headerFooter differentFirst="1">
    <oddFooter>&amp;R&amp;"Arial,обычный"&amp;9Протокол от 20 марта 2026 г. № 1/02.02.26-2-Ф/26
Общее количество страниц &amp;N Страница &amp;P</oddFooter>
  </headerFooter>
  <rowBreaks count="1" manualBreakCount="1">
    <brk id="50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2"/>
  <sheetViews>
    <sheetView view="pageBreakPreview" topLeftCell="A4" zoomScaleNormal="100" zoomScaleSheetLayoutView="100" zoomScalePageLayoutView="115" workbookViewId="0">
      <selection activeCell="B56" sqref="B56:Z56"/>
    </sheetView>
  </sheetViews>
  <sheetFormatPr defaultColWidth="9.140625" defaultRowHeight="15" x14ac:dyDescent="0.25"/>
  <cols>
    <col min="1" max="1" width="4" customWidth="1"/>
    <col min="2" max="2" width="4.85546875" customWidth="1"/>
    <col min="3" max="3" width="22.85546875" customWidth="1"/>
    <col min="4" max="4" width="18.5703125" customWidth="1"/>
    <col min="5" max="9" width="4.5703125" customWidth="1"/>
    <col min="10" max="18" width="4" customWidth="1"/>
    <col min="19" max="19" width="7.7109375" customWidth="1"/>
    <col min="20" max="20" width="3.7109375" customWidth="1"/>
    <col min="21" max="21" width="1.5703125" customWidth="1"/>
    <col min="22" max="22" width="2.85546875" customWidth="1"/>
    <col min="23" max="23" width="8.140625" customWidth="1"/>
    <col min="24" max="24" width="1.5703125" customWidth="1"/>
    <col min="25" max="25" width="2.85546875" customWidth="1"/>
  </cols>
  <sheetData>
    <row r="1" spans="1:23" x14ac:dyDescent="0.25">
      <c r="A1" s="8" t="s">
        <v>66</v>
      </c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25">
      <c r="A2" s="8" t="s">
        <v>67</v>
      </c>
      <c r="B2" s="8"/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15" customHeight="1" x14ac:dyDescent="0.25">
      <c r="A3" s="99" t="s">
        <v>43</v>
      </c>
      <c r="B3" s="100" t="s">
        <v>71</v>
      </c>
      <c r="C3" s="101" t="s">
        <v>44</v>
      </c>
      <c r="D3" s="102" t="s">
        <v>55</v>
      </c>
      <c r="E3" s="74" t="s">
        <v>45</v>
      </c>
      <c r="F3" s="75"/>
      <c r="G3" s="75"/>
      <c r="H3" s="75"/>
      <c r="I3" s="76"/>
      <c r="J3" s="103" t="s">
        <v>68</v>
      </c>
      <c r="K3" s="103"/>
      <c r="L3" s="103"/>
      <c r="M3" s="103"/>
      <c r="N3" s="103"/>
      <c r="O3" s="103"/>
      <c r="P3" s="103"/>
      <c r="Q3" s="103"/>
      <c r="R3" s="103"/>
      <c r="S3" s="84" t="s">
        <v>69</v>
      </c>
      <c r="T3" s="85" t="s">
        <v>70</v>
      </c>
      <c r="U3" s="86"/>
      <c r="V3" s="87"/>
      <c r="W3" s="94" t="s">
        <v>122</v>
      </c>
    </row>
    <row r="4" spans="1:23" ht="24" customHeight="1" x14ac:dyDescent="0.25">
      <c r="A4" s="99"/>
      <c r="B4" s="100"/>
      <c r="C4" s="101"/>
      <c r="D4" s="102"/>
      <c r="E4" s="95" t="s">
        <v>46</v>
      </c>
      <c r="F4" s="95"/>
      <c r="G4" s="77" t="s">
        <v>47</v>
      </c>
      <c r="H4" s="78"/>
      <c r="I4" s="79"/>
      <c r="J4" s="103"/>
      <c r="K4" s="103"/>
      <c r="L4" s="103"/>
      <c r="M4" s="103"/>
      <c r="N4" s="103"/>
      <c r="O4" s="103"/>
      <c r="P4" s="103"/>
      <c r="Q4" s="103"/>
      <c r="R4" s="103"/>
      <c r="S4" s="84"/>
      <c r="T4" s="88"/>
      <c r="U4" s="89"/>
      <c r="V4" s="90"/>
      <c r="W4" s="94"/>
    </row>
    <row r="5" spans="1:23" ht="81" customHeight="1" x14ac:dyDescent="0.25">
      <c r="A5" s="99"/>
      <c r="B5" s="100"/>
      <c r="C5" s="101"/>
      <c r="D5" s="102"/>
      <c r="E5" s="29" t="s">
        <v>48</v>
      </c>
      <c r="F5" s="30" t="s">
        <v>49</v>
      </c>
      <c r="G5" s="30" t="s">
        <v>50</v>
      </c>
      <c r="H5" s="30" t="s">
        <v>123</v>
      </c>
      <c r="I5" s="30" t="s">
        <v>51</v>
      </c>
      <c r="J5" s="14">
        <v>31.5</v>
      </c>
      <c r="K5" s="14">
        <v>63</v>
      </c>
      <c r="L5" s="14">
        <v>125</v>
      </c>
      <c r="M5" s="14">
        <v>250</v>
      </c>
      <c r="N5" s="14">
        <v>500</v>
      </c>
      <c r="O5" s="14">
        <v>1000</v>
      </c>
      <c r="P5" s="14">
        <v>2000</v>
      </c>
      <c r="Q5" s="14">
        <v>4000</v>
      </c>
      <c r="R5" s="14">
        <v>8000</v>
      </c>
      <c r="S5" s="84"/>
      <c r="T5" s="91"/>
      <c r="U5" s="92"/>
      <c r="V5" s="93"/>
      <c r="W5" s="94"/>
    </row>
    <row r="6" spans="1:23" x14ac:dyDescent="0.25">
      <c r="A6" s="10">
        <v>1</v>
      </c>
      <c r="B6" s="10">
        <v>2</v>
      </c>
      <c r="C6" s="10">
        <v>3</v>
      </c>
      <c r="D6" s="10">
        <v>4</v>
      </c>
      <c r="E6" s="15">
        <v>5</v>
      </c>
      <c r="F6" s="15">
        <v>6</v>
      </c>
      <c r="G6" s="15">
        <v>7</v>
      </c>
      <c r="H6" s="15">
        <v>8</v>
      </c>
      <c r="I6" s="15">
        <v>9</v>
      </c>
      <c r="J6" s="15">
        <v>10</v>
      </c>
      <c r="K6" s="15">
        <v>11</v>
      </c>
      <c r="L6" s="15">
        <v>12</v>
      </c>
      <c r="M6" s="15">
        <v>13</v>
      </c>
      <c r="N6" s="15">
        <v>14</v>
      </c>
      <c r="O6" s="15">
        <v>15</v>
      </c>
      <c r="P6" s="15">
        <v>16</v>
      </c>
      <c r="Q6" s="15">
        <v>17</v>
      </c>
      <c r="R6" s="15">
        <v>18</v>
      </c>
      <c r="S6" s="10">
        <v>19</v>
      </c>
      <c r="T6" s="96">
        <v>20</v>
      </c>
      <c r="U6" s="97"/>
      <c r="V6" s="98"/>
      <c r="W6" s="10">
        <v>21</v>
      </c>
    </row>
    <row r="7" spans="1:23" x14ac:dyDescent="0.25">
      <c r="A7" s="80" t="s">
        <v>121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2"/>
      <c r="T7" s="81"/>
      <c r="U7" s="81"/>
      <c r="V7" s="81"/>
      <c r="W7" s="83"/>
    </row>
    <row r="8" spans="1:23" ht="15" customHeight="1" x14ac:dyDescent="0.25">
      <c r="A8" s="36">
        <v>1</v>
      </c>
      <c r="B8" s="18" t="s">
        <v>52</v>
      </c>
      <c r="C8" s="68" t="s">
        <v>98</v>
      </c>
      <c r="D8" s="68" t="s">
        <v>120</v>
      </c>
      <c r="E8" s="17" t="s">
        <v>53</v>
      </c>
      <c r="F8" s="17" t="s">
        <v>41</v>
      </c>
      <c r="G8" s="17" t="s">
        <v>41</v>
      </c>
      <c r="H8" s="17" t="s">
        <v>53</v>
      </c>
      <c r="I8" s="17" t="s">
        <v>41</v>
      </c>
      <c r="J8" s="17" t="s">
        <v>41</v>
      </c>
      <c r="K8" s="17" t="s">
        <v>41</v>
      </c>
      <c r="L8" s="17" t="s">
        <v>41</v>
      </c>
      <c r="M8" s="17" t="s">
        <v>41</v>
      </c>
      <c r="N8" s="17" t="s">
        <v>41</v>
      </c>
      <c r="O8" s="17" t="s">
        <v>41</v>
      </c>
      <c r="P8" s="17" t="s">
        <v>41</v>
      </c>
      <c r="Q8" s="17" t="s">
        <v>41</v>
      </c>
      <c r="R8" s="17" t="s">
        <v>41</v>
      </c>
      <c r="S8" s="16" t="s">
        <v>41</v>
      </c>
      <c r="T8" s="61" t="s">
        <v>144</v>
      </c>
      <c r="U8" s="62"/>
      <c r="V8" s="63"/>
      <c r="W8" s="26" t="s">
        <v>145</v>
      </c>
    </row>
    <row r="9" spans="1:23" ht="14.25" customHeight="1" x14ac:dyDescent="0.25">
      <c r="A9" s="36">
        <v>2</v>
      </c>
      <c r="B9" s="18" t="s">
        <v>54</v>
      </c>
      <c r="C9" s="69"/>
      <c r="D9" s="69"/>
      <c r="E9" s="17" t="s">
        <v>53</v>
      </c>
      <c r="F9" s="17" t="s">
        <v>41</v>
      </c>
      <c r="G9" s="17" t="s">
        <v>41</v>
      </c>
      <c r="H9" s="17" t="s">
        <v>53</v>
      </c>
      <c r="I9" s="17" t="s">
        <v>41</v>
      </c>
      <c r="J9" s="17" t="s">
        <v>41</v>
      </c>
      <c r="K9" s="17" t="s">
        <v>41</v>
      </c>
      <c r="L9" s="17" t="s">
        <v>41</v>
      </c>
      <c r="M9" s="17" t="s">
        <v>41</v>
      </c>
      <c r="N9" s="17" t="s">
        <v>41</v>
      </c>
      <c r="O9" s="17" t="s">
        <v>41</v>
      </c>
      <c r="P9" s="17" t="s">
        <v>41</v>
      </c>
      <c r="Q9" s="17" t="s">
        <v>41</v>
      </c>
      <c r="R9" s="17" t="s">
        <v>41</v>
      </c>
      <c r="S9" s="16" t="s">
        <v>41</v>
      </c>
      <c r="T9" s="61" t="s">
        <v>146</v>
      </c>
      <c r="U9" s="62"/>
      <c r="V9" s="63"/>
      <c r="W9" s="26" t="s">
        <v>147</v>
      </c>
    </row>
    <row r="10" spans="1:23" ht="14.25" customHeight="1" x14ac:dyDescent="0.25">
      <c r="A10" s="36">
        <v>3</v>
      </c>
      <c r="B10" s="18" t="s">
        <v>59</v>
      </c>
      <c r="C10" s="69"/>
      <c r="D10" s="69"/>
      <c r="E10" s="17" t="s">
        <v>53</v>
      </c>
      <c r="F10" s="17" t="s">
        <v>41</v>
      </c>
      <c r="G10" s="17" t="s">
        <v>41</v>
      </c>
      <c r="H10" s="17" t="s">
        <v>53</v>
      </c>
      <c r="I10" s="17" t="s">
        <v>41</v>
      </c>
      <c r="J10" s="17" t="s">
        <v>41</v>
      </c>
      <c r="K10" s="17" t="s">
        <v>41</v>
      </c>
      <c r="L10" s="17" t="s">
        <v>41</v>
      </c>
      <c r="M10" s="17" t="s">
        <v>41</v>
      </c>
      <c r="N10" s="17" t="s">
        <v>41</v>
      </c>
      <c r="O10" s="17" t="s">
        <v>41</v>
      </c>
      <c r="P10" s="17" t="s">
        <v>41</v>
      </c>
      <c r="Q10" s="17" t="s">
        <v>41</v>
      </c>
      <c r="R10" s="17" t="s">
        <v>41</v>
      </c>
      <c r="S10" s="16" t="s">
        <v>41</v>
      </c>
      <c r="T10" s="61" t="s">
        <v>148</v>
      </c>
      <c r="U10" s="62"/>
      <c r="V10" s="63"/>
      <c r="W10" s="26" t="s">
        <v>138</v>
      </c>
    </row>
    <row r="11" spans="1:23" ht="14.25" customHeight="1" x14ac:dyDescent="0.25">
      <c r="A11" s="16">
        <v>4</v>
      </c>
      <c r="B11" s="17" t="s">
        <v>60</v>
      </c>
      <c r="C11" s="70"/>
      <c r="D11" s="70"/>
      <c r="E11" s="17" t="s">
        <v>53</v>
      </c>
      <c r="F11" s="17" t="s">
        <v>41</v>
      </c>
      <c r="G11" s="17" t="s">
        <v>41</v>
      </c>
      <c r="H11" s="17" t="s">
        <v>53</v>
      </c>
      <c r="I11" s="17" t="s">
        <v>41</v>
      </c>
      <c r="J11" s="17" t="s">
        <v>41</v>
      </c>
      <c r="K11" s="17" t="s">
        <v>41</v>
      </c>
      <c r="L11" s="17" t="s">
        <v>41</v>
      </c>
      <c r="M11" s="17" t="s">
        <v>41</v>
      </c>
      <c r="N11" s="17" t="s">
        <v>41</v>
      </c>
      <c r="O11" s="17" t="s">
        <v>41</v>
      </c>
      <c r="P11" s="17" t="s">
        <v>41</v>
      </c>
      <c r="Q11" s="17" t="s">
        <v>41</v>
      </c>
      <c r="R11" s="17" t="s">
        <v>41</v>
      </c>
      <c r="S11" s="16" t="s">
        <v>41</v>
      </c>
      <c r="T11" s="61" t="s">
        <v>134</v>
      </c>
      <c r="U11" s="62"/>
      <c r="V11" s="63"/>
      <c r="W11" s="26" t="s">
        <v>139</v>
      </c>
    </row>
    <row r="12" spans="1:23" ht="15" customHeight="1" x14ac:dyDescent="0.25">
      <c r="A12" s="36">
        <v>5</v>
      </c>
      <c r="B12" s="18" t="s">
        <v>124</v>
      </c>
      <c r="C12" s="68" t="s">
        <v>98</v>
      </c>
      <c r="D12" s="68" t="s">
        <v>120</v>
      </c>
      <c r="E12" s="17" t="s">
        <v>53</v>
      </c>
      <c r="F12" s="17" t="s">
        <v>41</v>
      </c>
      <c r="G12" s="17" t="s">
        <v>41</v>
      </c>
      <c r="H12" s="17" t="s">
        <v>53</v>
      </c>
      <c r="I12" s="17" t="s">
        <v>41</v>
      </c>
      <c r="J12" s="17" t="s">
        <v>41</v>
      </c>
      <c r="K12" s="17" t="s">
        <v>41</v>
      </c>
      <c r="L12" s="17" t="s">
        <v>41</v>
      </c>
      <c r="M12" s="17" t="s">
        <v>41</v>
      </c>
      <c r="N12" s="17" t="s">
        <v>41</v>
      </c>
      <c r="O12" s="17" t="s">
        <v>41</v>
      </c>
      <c r="P12" s="17" t="s">
        <v>41</v>
      </c>
      <c r="Q12" s="17" t="s">
        <v>41</v>
      </c>
      <c r="R12" s="17" t="s">
        <v>41</v>
      </c>
      <c r="S12" s="16" t="s">
        <v>41</v>
      </c>
      <c r="T12" s="61" t="s">
        <v>133</v>
      </c>
      <c r="U12" s="62"/>
      <c r="V12" s="63"/>
      <c r="W12" s="26" t="s">
        <v>140</v>
      </c>
    </row>
    <row r="13" spans="1:23" ht="14.25" customHeight="1" x14ac:dyDescent="0.25">
      <c r="A13" s="36">
        <v>6</v>
      </c>
      <c r="B13" s="18" t="s">
        <v>125</v>
      </c>
      <c r="C13" s="69"/>
      <c r="D13" s="69"/>
      <c r="E13" s="17" t="s">
        <v>53</v>
      </c>
      <c r="F13" s="17" t="s">
        <v>41</v>
      </c>
      <c r="G13" s="17" t="s">
        <v>41</v>
      </c>
      <c r="H13" s="17" t="s">
        <v>53</v>
      </c>
      <c r="I13" s="17" t="s">
        <v>41</v>
      </c>
      <c r="J13" s="17" t="s">
        <v>41</v>
      </c>
      <c r="K13" s="17" t="s">
        <v>41</v>
      </c>
      <c r="L13" s="17" t="s">
        <v>41</v>
      </c>
      <c r="M13" s="17" t="s">
        <v>41</v>
      </c>
      <c r="N13" s="17" t="s">
        <v>41</v>
      </c>
      <c r="O13" s="17" t="s">
        <v>41</v>
      </c>
      <c r="P13" s="17" t="s">
        <v>41</v>
      </c>
      <c r="Q13" s="17" t="s">
        <v>41</v>
      </c>
      <c r="R13" s="17" t="s">
        <v>41</v>
      </c>
      <c r="S13" s="16" t="s">
        <v>41</v>
      </c>
      <c r="T13" s="61" t="s">
        <v>135</v>
      </c>
      <c r="U13" s="62"/>
      <c r="V13" s="63"/>
      <c r="W13" s="26" t="s">
        <v>141</v>
      </c>
    </row>
    <row r="14" spans="1:23" ht="14.25" customHeight="1" x14ac:dyDescent="0.25">
      <c r="A14" s="36">
        <v>7</v>
      </c>
      <c r="B14" s="18" t="s">
        <v>126</v>
      </c>
      <c r="C14" s="69"/>
      <c r="D14" s="69"/>
      <c r="E14" s="17" t="s">
        <v>53</v>
      </c>
      <c r="F14" s="17" t="s">
        <v>41</v>
      </c>
      <c r="G14" s="17" t="s">
        <v>41</v>
      </c>
      <c r="H14" s="17" t="s">
        <v>53</v>
      </c>
      <c r="I14" s="17" t="s">
        <v>41</v>
      </c>
      <c r="J14" s="17" t="s">
        <v>41</v>
      </c>
      <c r="K14" s="17" t="s">
        <v>41</v>
      </c>
      <c r="L14" s="17" t="s">
        <v>41</v>
      </c>
      <c r="M14" s="17" t="s">
        <v>41</v>
      </c>
      <c r="N14" s="17" t="s">
        <v>41</v>
      </c>
      <c r="O14" s="17" t="s">
        <v>41</v>
      </c>
      <c r="P14" s="17" t="s">
        <v>41</v>
      </c>
      <c r="Q14" s="17" t="s">
        <v>41</v>
      </c>
      <c r="R14" s="17" t="s">
        <v>41</v>
      </c>
      <c r="S14" s="16" t="s">
        <v>41</v>
      </c>
      <c r="T14" s="61" t="s">
        <v>136</v>
      </c>
      <c r="U14" s="62"/>
      <c r="V14" s="63"/>
      <c r="W14" s="26" t="s">
        <v>143</v>
      </c>
    </row>
    <row r="15" spans="1:23" ht="14.25" customHeight="1" x14ac:dyDescent="0.25">
      <c r="A15" s="36">
        <v>8</v>
      </c>
      <c r="B15" s="18" t="s">
        <v>127</v>
      </c>
      <c r="C15" s="70"/>
      <c r="D15" s="70"/>
      <c r="E15" s="17" t="s">
        <v>53</v>
      </c>
      <c r="F15" s="17" t="s">
        <v>41</v>
      </c>
      <c r="G15" s="17" t="s">
        <v>41</v>
      </c>
      <c r="H15" s="17" t="s">
        <v>53</v>
      </c>
      <c r="I15" s="17" t="s">
        <v>41</v>
      </c>
      <c r="J15" s="17" t="s">
        <v>41</v>
      </c>
      <c r="K15" s="17" t="s">
        <v>41</v>
      </c>
      <c r="L15" s="17" t="s">
        <v>41</v>
      </c>
      <c r="M15" s="17" t="s">
        <v>41</v>
      </c>
      <c r="N15" s="17" t="s">
        <v>41</v>
      </c>
      <c r="O15" s="17" t="s">
        <v>41</v>
      </c>
      <c r="P15" s="17" t="s">
        <v>41</v>
      </c>
      <c r="Q15" s="17" t="s">
        <v>41</v>
      </c>
      <c r="R15" s="17" t="s">
        <v>41</v>
      </c>
      <c r="S15" s="16" t="s">
        <v>41</v>
      </c>
      <c r="T15" s="61" t="s">
        <v>137</v>
      </c>
      <c r="U15" s="62"/>
      <c r="V15" s="63"/>
      <c r="W15" s="26" t="s">
        <v>142</v>
      </c>
    </row>
    <row r="16" spans="1:23" ht="15" customHeight="1" x14ac:dyDescent="0.25">
      <c r="A16" s="64" t="s">
        <v>72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5">
        <v>55</v>
      </c>
      <c r="U16" s="66"/>
      <c r="V16" s="67"/>
      <c r="W16" s="27">
        <v>70</v>
      </c>
    </row>
    <row r="17" spans="1:23" s="37" customFormat="1" ht="39.75" customHeight="1" x14ac:dyDescent="0.25">
      <c r="A17" s="73" t="s">
        <v>128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</row>
    <row r="18" spans="1:23" ht="15" customHeight="1" x14ac:dyDescent="0.2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5"/>
      <c r="U18" s="35"/>
      <c r="V18" s="35"/>
      <c r="W18" s="35"/>
    </row>
    <row r="19" spans="1:23" ht="25.5" customHeight="1" x14ac:dyDescent="0.25">
      <c r="A19" s="71" t="s">
        <v>73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</row>
    <row r="20" spans="1:23" ht="13.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3" x14ac:dyDescent="0.25">
      <c r="A21" s="1" t="s">
        <v>35</v>
      </c>
      <c r="B21" s="1"/>
      <c r="C21" s="1"/>
      <c r="D21" s="11" t="s">
        <v>63</v>
      </c>
      <c r="E21" s="11"/>
      <c r="F21" s="11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9"/>
    </row>
    <row r="22" spans="1:23" x14ac:dyDescent="0.25">
      <c r="A22" s="41" t="s">
        <v>36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</row>
    <row r="23" spans="1:23" x14ac:dyDescent="0.25">
      <c r="A23" s="1" t="s">
        <v>37</v>
      </c>
      <c r="B23" s="1"/>
      <c r="C23" s="1"/>
      <c r="D23" s="11" t="s">
        <v>63</v>
      </c>
      <c r="E23" s="11"/>
      <c r="F23" s="11"/>
      <c r="G23" s="1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9"/>
    </row>
    <row r="24" spans="1:23" x14ac:dyDescent="0.25">
      <c r="A24" s="41" t="s">
        <v>36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</row>
    <row r="25" spans="1:23" ht="1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3" x14ac:dyDescent="0.25">
      <c r="A26" s="72" t="s">
        <v>77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 spans="1:23" x14ac:dyDescent="0.25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</row>
    <row r="28" spans="1:23" x14ac:dyDescent="0.25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</row>
    <row r="29" spans="1:23" x14ac:dyDescent="0.25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</row>
    <row r="30" spans="1:23" ht="3" customHeight="1" x14ac:dyDescent="0.25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</row>
    <row r="31" spans="1:23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9"/>
    </row>
    <row r="32" spans="1:23" x14ac:dyDescent="0.25">
      <c r="A32" s="60" t="s">
        <v>100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1"/>
      <c r="V32" s="1"/>
    </row>
  </sheetData>
  <sheetProtection formatCells="0" formatColumns="0" formatRows="0" insertColumns="0" insertRows="0" insertHyperlinks="0" deleteColumns="0" deleteRows="0" sort="0" autoFilter="0" pivotTables="0"/>
  <mergeCells count="33">
    <mergeCell ref="D8:D11"/>
    <mergeCell ref="A26:W30"/>
    <mergeCell ref="A17:W17"/>
    <mergeCell ref="E3:I3"/>
    <mergeCell ref="G4:I4"/>
    <mergeCell ref="A7:W7"/>
    <mergeCell ref="T8:V8"/>
    <mergeCell ref="S3:S5"/>
    <mergeCell ref="T3:V5"/>
    <mergeCell ref="W3:W5"/>
    <mergeCell ref="E4:F4"/>
    <mergeCell ref="T6:V6"/>
    <mergeCell ref="A3:A5"/>
    <mergeCell ref="B3:B5"/>
    <mergeCell ref="C3:C5"/>
    <mergeCell ref="D3:D5"/>
    <mergeCell ref="J3:R4"/>
    <mergeCell ref="A32:T32"/>
    <mergeCell ref="T9:V9"/>
    <mergeCell ref="T10:V10"/>
    <mergeCell ref="A16:S16"/>
    <mergeCell ref="T16:V16"/>
    <mergeCell ref="T11:V11"/>
    <mergeCell ref="C12:C15"/>
    <mergeCell ref="D12:D15"/>
    <mergeCell ref="T12:V12"/>
    <mergeCell ref="T13:V13"/>
    <mergeCell ref="T14:V14"/>
    <mergeCell ref="T15:V15"/>
    <mergeCell ref="C8:C11"/>
    <mergeCell ref="A19:W19"/>
    <mergeCell ref="A22:V22"/>
    <mergeCell ref="A24:V24"/>
  </mergeCells>
  <phoneticPr fontId="6" type="noConversion"/>
  <pageMargins left="0.70866141732283472" right="0.43307086614173229" top="0.74803149606299213" bottom="0.74803149606299213" header="0.31496062992125984" footer="0.31496062992125984"/>
  <pageSetup paperSize="9" firstPageNumber="4" orientation="landscape" r:id="rId1"/>
  <headerFooter>
    <oddFooter>&amp;R&amp;"Arial,обычный"&amp;9Протокол от 20 марта 2026 г. № 1/02.02.26-2-Ф/26
Общее количество страниц &amp;N Страница &amp;P</oddFooter>
    <firstFooter>&amp;R&amp;"Arial,обычный"&amp;9Протокол от 24 апреля 2024 г. №9/27.03.24-2-Ф/24
Общее количество страниц &amp;N Страница &amp;P</firstFooter>
  </headerFooter>
  <rowBreaks count="1" manualBreakCount="1">
    <brk id="11" max="2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0:L25"/>
  <sheetViews>
    <sheetView topLeftCell="A7" workbookViewId="0">
      <selection activeCell="I20" sqref="I20"/>
    </sheetView>
  </sheetViews>
  <sheetFormatPr defaultRowHeight="15" x14ac:dyDescent="0.25"/>
  <cols>
    <col min="3" max="3" width="38.28515625" customWidth="1"/>
    <col min="4" max="4" width="11.85546875" customWidth="1"/>
  </cols>
  <sheetData>
    <row r="10" spans="3:12" x14ac:dyDescent="0.25">
      <c r="C10" s="21" t="s">
        <v>81</v>
      </c>
      <c r="D10" s="21">
        <v>0.2</v>
      </c>
    </row>
    <row r="11" spans="3:12" x14ac:dyDescent="0.25">
      <c r="C11" s="21" t="s">
        <v>82</v>
      </c>
      <c r="D11" s="21">
        <v>0</v>
      </c>
    </row>
    <row r="12" spans="3:12" x14ac:dyDescent="0.25">
      <c r="C12" s="21" t="s">
        <v>83</v>
      </c>
      <c r="D12" s="21">
        <v>0.1</v>
      </c>
    </row>
    <row r="13" spans="3:12" x14ac:dyDescent="0.25">
      <c r="C13" s="21" t="s">
        <v>84</v>
      </c>
      <c r="D13" s="21">
        <v>0.7</v>
      </c>
    </row>
    <row r="14" spans="3:12" ht="15.75" thickBot="1" x14ac:dyDescent="0.3">
      <c r="C14" s="25" t="s">
        <v>85</v>
      </c>
      <c r="D14" s="25">
        <v>0.7</v>
      </c>
      <c r="E14" s="104"/>
      <c r="F14" s="104"/>
      <c r="G14" s="104"/>
      <c r="K14" t="s">
        <v>78</v>
      </c>
      <c r="L14" s="20" t="s">
        <v>79</v>
      </c>
    </row>
    <row r="15" spans="3:12" x14ac:dyDescent="0.25">
      <c r="C15" s="24" t="s">
        <v>92</v>
      </c>
      <c r="D15" s="23">
        <f>20*LOG10(1+(((10^(D14/20)-1)^2)+((10^(D10/20)-1)^2)+((10^(D11/20)-1)^2)+((10^(D12/20)-1)^2)+((10^(D13/20)-1)^2))^0.5)</f>
        <v>0.99604455274713621</v>
      </c>
      <c r="F15" t="s">
        <v>80</v>
      </c>
      <c r="G15">
        <f>D15/(3)^0.5</f>
        <v>0.57506659065341947</v>
      </c>
      <c r="H15">
        <f>ROUND(G15,2)</f>
        <v>0.57999999999999996</v>
      </c>
      <c r="K15">
        <f>G15*2</f>
        <v>1.1501331813068389</v>
      </c>
      <c r="L15" s="20">
        <f>ROUND(K15,1)</f>
        <v>1.2</v>
      </c>
    </row>
    <row r="16" spans="3:12" x14ac:dyDescent="0.25">
      <c r="C16" s="22" t="s">
        <v>80</v>
      </c>
      <c r="D16" s="22">
        <f>H15</f>
        <v>0.57999999999999996</v>
      </c>
    </row>
    <row r="17" spans="3:4" x14ac:dyDescent="0.25">
      <c r="C17" s="22" t="s">
        <v>93</v>
      </c>
      <c r="D17" s="22">
        <f>L15</f>
        <v>1.2</v>
      </c>
    </row>
    <row r="19" spans="3:4" x14ac:dyDescent="0.25">
      <c r="C19" t="s">
        <v>86</v>
      </c>
      <c r="D19">
        <v>0.05</v>
      </c>
    </row>
    <row r="20" spans="3:4" x14ac:dyDescent="0.25">
      <c r="C20" t="s">
        <v>87</v>
      </c>
      <c r="D20">
        <v>0.1</v>
      </c>
    </row>
    <row r="21" spans="3:4" x14ac:dyDescent="0.25">
      <c r="C21" t="s">
        <v>88</v>
      </c>
      <c r="D21">
        <v>0.2</v>
      </c>
    </row>
    <row r="23" spans="3:4" x14ac:dyDescent="0.25">
      <c r="C23" t="s">
        <v>89</v>
      </c>
      <c r="D23">
        <v>0.15</v>
      </c>
    </row>
    <row r="24" spans="3:4" x14ac:dyDescent="0.25">
      <c r="C24" t="s">
        <v>90</v>
      </c>
      <c r="D24">
        <v>0.3</v>
      </c>
    </row>
    <row r="25" spans="3:4" x14ac:dyDescent="0.25">
      <c r="C25" t="s">
        <v>91</v>
      </c>
      <c r="D25">
        <v>0.7</v>
      </c>
    </row>
  </sheetData>
  <mergeCells count="1">
    <mergeCell ref="E14:G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Протокол </vt:lpstr>
      <vt:lpstr>шум </vt:lpstr>
      <vt:lpstr>Неопред</vt:lpstr>
      <vt:lpstr>'шум '!Заголовки_для_печати</vt:lpstr>
      <vt:lpstr>'Протокол '!Область_печати</vt:lpstr>
      <vt:lpstr>'шум 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cit3</cp:lastModifiedBy>
  <cp:lastPrinted>2026-03-20T05:42:23Z</cp:lastPrinted>
  <dcterms:created xsi:type="dcterms:W3CDTF">2015-06-05T18:19:34Z</dcterms:created>
  <dcterms:modified xsi:type="dcterms:W3CDTF">2026-03-20T05:42:52Z</dcterms:modified>
</cp:coreProperties>
</file>