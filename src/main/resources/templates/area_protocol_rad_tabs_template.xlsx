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FEB9B4E6-CD82-4936-ADCE-258AD380A2A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Титульный" sheetId="1" r:id="rId1"/>
    <sheet name="МЭД" sheetId="4" r:id="rId2"/>
    <sheet name="ППР" sheetId="5" r:id="rId3"/>
    <sheet name="генератор" sheetId="2" r:id="rId4"/>
    <sheet name="генератор (2)" sheetId="6" r:id="rId5"/>
  </sheets>
  <definedNames>
    <definedName name="_xlnm.Print_Titles" localSheetId="1">МЭД!$6:$6</definedName>
    <definedName name="_xlnm.Print_Titles" localSheetId="2">ППР!$4:$4</definedName>
    <definedName name="_xlnm.Print_Area" localSheetId="1">МЭД!$A$1:$M$93</definedName>
    <definedName name="_xlnm.Print_Area" localSheetId="2">ППР!$A$1:$N$104</definedName>
    <definedName name="_xlnm.Print_Area" localSheetId="0">Титульный!$A$1:$Z$97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9" i="5" l="1"/>
  <c r="X19" i="5"/>
  <c r="M19" i="5"/>
  <c r="Y18" i="5"/>
  <c r="X18" i="5"/>
  <c r="M18" i="5"/>
  <c r="Y17" i="5"/>
  <c r="X17" i="5"/>
  <c r="M17" i="5"/>
  <c r="Y16" i="5"/>
  <c r="X16" i="5"/>
  <c r="M16" i="5"/>
  <c r="Y15" i="5"/>
  <c r="X15" i="5"/>
  <c r="M15" i="5"/>
  <c r="Y14" i="5"/>
  <c r="X14" i="5"/>
  <c r="M14" i="5"/>
  <c r="Y13" i="5"/>
  <c r="X13" i="5"/>
  <c r="M13" i="5"/>
  <c r="Y12" i="5"/>
  <c r="X12" i="5"/>
  <c r="M12" i="5"/>
  <c r="Y11" i="5"/>
  <c r="X11" i="5"/>
  <c r="M11" i="5"/>
  <c r="Y10" i="5"/>
  <c r="X10" i="5"/>
  <c r="M10" i="5"/>
  <c r="Y29" i="5"/>
  <c r="X29" i="5"/>
  <c r="M29" i="5"/>
  <c r="Y28" i="5"/>
  <c r="X28" i="5"/>
  <c r="M28" i="5"/>
  <c r="Y27" i="5"/>
  <c r="X27" i="5"/>
  <c r="M27" i="5"/>
  <c r="Y26" i="5"/>
  <c r="X26" i="5"/>
  <c r="M26" i="5"/>
  <c r="Y25" i="5"/>
  <c r="X25" i="5"/>
  <c r="M25" i="5"/>
  <c r="Y24" i="5"/>
  <c r="X24" i="5"/>
  <c r="M24" i="5"/>
  <c r="Y23" i="5"/>
  <c r="X23" i="5"/>
  <c r="M23" i="5"/>
  <c r="Y22" i="5"/>
  <c r="X22" i="5"/>
  <c r="M22" i="5"/>
  <c r="Y21" i="5"/>
  <c r="X21" i="5"/>
  <c r="M21" i="5"/>
  <c r="Y20" i="5"/>
  <c r="X20" i="5"/>
  <c r="M20" i="5"/>
  <c r="Y39" i="5"/>
  <c r="X39" i="5"/>
  <c r="M39" i="5"/>
  <c r="Y38" i="5"/>
  <c r="X38" i="5"/>
  <c r="M38" i="5"/>
  <c r="Y37" i="5"/>
  <c r="X37" i="5"/>
  <c r="M37" i="5"/>
  <c r="Y36" i="5"/>
  <c r="X36" i="5"/>
  <c r="M36" i="5"/>
  <c r="Y35" i="5"/>
  <c r="X35" i="5"/>
  <c r="M35" i="5"/>
  <c r="Y34" i="5"/>
  <c r="X34" i="5"/>
  <c r="M34" i="5"/>
  <c r="Y33" i="5"/>
  <c r="X33" i="5"/>
  <c r="M33" i="5"/>
  <c r="Y32" i="5"/>
  <c r="X32" i="5"/>
  <c r="M32" i="5"/>
  <c r="Y31" i="5"/>
  <c r="X31" i="5"/>
  <c r="M31" i="5"/>
  <c r="Y30" i="5"/>
  <c r="X30" i="5"/>
  <c r="M30" i="5"/>
  <c r="Y49" i="5"/>
  <c r="X49" i="5"/>
  <c r="M49" i="5"/>
  <c r="Y48" i="5"/>
  <c r="X48" i="5"/>
  <c r="M48" i="5"/>
  <c r="Y47" i="5"/>
  <c r="X47" i="5"/>
  <c r="M47" i="5"/>
  <c r="Y46" i="5"/>
  <c r="X46" i="5"/>
  <c r="M46" i="5"/>
  <c r="Y45" i="5"/>
  <c r="X45" i="5"/>
  <c r="M45" i="5"/>
  <c r="Y44" i="5"/>
  <c r="X44" i="5"/>
  <c r="M44" i="5"/>
  <c r="Y43" i="5"/>
  <c r="X43" i="5"/>
  <c r="M43" i="5"/>
  <c r="Y42" i="5"/>
  <c r="X42" i="5"/>
  <c r="M42" i="5"/>
  <c r="Y41" i="5"/>
  <c r="X41" i="5"/>
  <c r="M41" i="5"/>
  <c r="Y40" i="5"/>
  <c r="X40" i="5"/>
  <c r="M40" i="5"/>
  <c r="Y59" i="5"/>
  <c r="X59" i="5"/>
  <c r="M59" i="5"/>
  <c r="Y58" i="5"/>
  <c r="X58" i="5"/>
  <c r="M58" i="5"/>
  <c r="Y57" i="5"/>
  <c r="X57" i="5"/>
  <c r="M57" i="5"/>
  <c r="Y56" i="5"/>
  <c r="X56" i="5"/>
  <c r="M56" i="5"/>
  <c r="Y55" i="5"/>
  <c r="X55" i="5"/>
  <c r="M55" i="5"/>
  <c r="Y54" i="5"/>
  <c r="X54" i="5"/>
  <c r="M54" i="5"/>
  <c r="Y53" i="5"/>
  <c r="X53" i="5"/>
  <c r="M53" i="5"/>
  <c r="Y52" i="5"/>
  <c r="X52" i="5"/>
  <c r="M52" i="5"/>
  <c r="Y51" i="5"/>
  <c r="X51" i="5"/>
  <c r="M51" i="5"/>
  <c r="Y50" i="5"/>
  <c r="X50" i="5"/>
  <c r="M50" i="5"/>
  <c r="Y69" i="5"/>
  <c r="X69" i="5"/>
  <c r="M69" i="5"/>
  <c r="Y68" i="5"/>
  <c r="X68" i="5"/>
  <c r="M68" i="5"/>
  <c r="Y67" i="5"/>
  <c r="X67" i="5"/>
  <c r="M67" i="5"/>
  <c r="Y66" i="5"/>
  <c r="X66" i="5"/>
  <c r="M66" i="5"/>
  <c r="Y65" i="5"/>
  <c r="X65" i="5"/>
  <c r="M65" i="5"/>
  <c r="Y64" i="5"/>
  <c r="X64" i="5"/>
  <c r="M64" i="5"/>
  <c r="Y63" i="5"/>
  <c r="X63" i="5"/>
  <c r="M63" i="5"/>
  <c r="Y62" i="5"/>
  <c r="X62" i="5"/>
  <c r="M62" i="5"/>
  <c r="Y61" i="5"/>
  <c r="X61" i="5"/>
  <c r="M61" i="5"/>
  <c r="Y60" i="5"/>
  <c r="X60" i="5"/>
  <c r="M60" i="5"/>
  <c r="Y79" i="5"/>
  <c r="X79" i="5"/>
  <c r="M79" i="5"/>
  <c r="Y78" i="5"/>
  <c r="X78" i="5"/>
  <c r="M78" i="5"/>
  <c r="Y77" i="5"/>
  <c r="X77" i="5"/>
  <c r="M77" i="5"/>
  <c r="Y76" i="5"/>
  <c r="X76" i="5"/>
  <c r="M76" i="5"/>
  <c r="Y75" i="5"/>
  <c r="X75" i="5"/>
  <c r="M75" i="5"/>
  <c r="Y74" i="5"/>
  <c r="X74" i="5"/>
  <c r="M74" i="5"/>
  <c r="Y73" i="5"/>
  <c r="X73" i="5"/>
  <c r="M73" i="5"/>
  <c r="Y72" i="5"/>
  <c r="X72" i="5"/>
  <c r="M72" i="5"/>
  <c r="Y71" i="5"/>
  <c r="X71" i="5"/>
  <c r="M71" i="5"/>
  <c r="Y70" i="5"/>
  <c r="X70" i="5"/>
  <c r="M70" i="5"/>
  <c r="L74" i="4"/>
  <c r="AR47" i="4"/>
  <c r="AS47" i="4" s="1"/>
  <c r="L47" i="4" s="1"/>
  <c r="AR46" i="4"/>
  <c r="AS46" i="4" s="1"/>
  <c r="L46" i="4" s="1"/>
  <c r="AR45" i="4"/>
  <c r="AS45" i="4" s="1"/>
  <c r="L45" i="4" s="1"/>
  <c r="AR44" i="4"/>
  <c r="AS44" i="4" s="1"/>
  <c r="L44" i="4" s="1"/>
  <c r="AR43" i="4"/>
  <c r="AS43" i="4" s="1"/>
  <c r="L43" i="4" s="1"/>
  <c r="AR42" i="4"/>
  <c r="AS42" i="4" s="1"/>
  <c r="L42" i="4" s="1"/>
  <c r="AR53" i="4"/>
  <c r="AS53" i="4" s="1"/>
  <c r="L53" i="4" s="1"/>
  <c r="AR52" i="4"/>
  <c r="AS52" i="4" s="1"/>
  <c r="L52" i="4" s="1"/>
  <c r="AR51" i="4"/>
  <c r="AS51" i="4" s="1"/>
  <c r="L51" i="4" s="1"/>
  <c r="AR50" i="4"/>
  <c r="AS50" i="4" s="1"/>
  <c r="L50" i="4" s="1"/>
  <c r="AR49" i="4"/>
  <c r="AS49" i="4" s="1"/>
  <c r="L49" i="4" s="1"/>
  <c r="AR48" i="4"/>
  <c r="AS48" i="4" s="1"/>
  <c r="L48" i="4" s="1"/>
  <c r="AR59" i="4"/>
  <c r="AS59" i="4" s="1"/>
  <c r="L59" i="4" s="1"/>
  <c r="AR58" i="4"/>
  <c r="AS58" i="4" s="1"/>
  <c r="L58" i="4" s="1"/>
  <c r="AR57" i="4"/>
  <c r="AS57" i="4" s="1"/>
  <c r="L57" i="4" s="1"/>
  <c r="AR56" i="4"/>
  <c r="AS56" i="4" s="1"/>
  <c r="L56" i="4" s="1"/>
  <c r="AR55" i="4"/>
  <c r="AS55" i="4" s="1"/>
  <c r="L55" i="4" s="1"/>
  <c r="AR54" i="4"/>
  <c r="AS54" i="4" s="1"/>
  <c r="L54" i="4" s="1"/>
  <c r="AR65" i="4"/>
  <c r="AS65" i="4" s="1"/>
  <c r="L65" i="4" s="1"/>
  <c r="AR64" i="4"/>
  <c r="AS64" i="4" s="1"/>
  <c r="L64" i="4" s="1"/>
  <c r="AR63" i="4"/>
  <c r="AS63" i="4" s="1"/>
  <c r="L63" i="4" s="1"/>
  <c r="AR62" i="4"/>
  <c r="AS62" i="4" s="1"/>
  <c r="L62" i="4" s="1"/>
  <c r="AR61" i="4"/>
  <c r="AS61" i="4" s="1"/>
  <c r="L61" i="4" s="1"/>
  <c r="AR60" i="4"/>
  <c r="AS60" i="4" s="1"/>
  <c r="L60" i="4" s="1"/>
  <c r="AR71" i="4"/>
  <c r="AS71" i="4" s="1"/>
  <c r="L71" i="4" s="1"/>
  <c r="AR70" i="4"/>
  <c r="AS70" i="4" s="1"/>
  <c r="L70" i="4" s="1"/>
  <c r="AR69" i="4"/>
  <c r="AS69" i="4" s="1"/>
  <c r="L69" i="4" s="1"/>
  <c r="AR68" i="4"/>
  <c r="AS68" i="4" s="1"/>
  <c r="L68" i="4" s="1"/>
  <c r="AR67" i="4"/>
  <c r="AS67" i="4" s="1"/>
  <c r="L67" i="4" s="1"/>
  <c r="AR66" i="4"/>
  <c r="AS66" i="4" s="1"/>
  <c r="L66" i="4" s="1"/>
  <c r="AR77" i="4"/>
  <c r="AS77" i="4" s="1"/>
  <c r="L77" i="4" s="1"/>
  <c r="AR76" i="4"/>
  <c r="AS76" i="4" s="1"/>
  <c r="L76" i="4" s="1"/>
  <c r="AR75" i="4"/>
  <c r="AS75" i="4" s="1"/>
  <c r="L75" i="4" s="1"/>
  <c r="AR74" i="4"/>
  <c r="AS74" i="4" s="1"/>
  <c r="AR73" i="4"/>
  <c r="AS73" i="4" s="1"/>
  <c r="L73" i="4" s="1"/>
  <c r="AR72" i="4"/>
  <c r="AS72" i="4" s="1"/>
  <c r="L72" i="4" s="1"/>
  <c r="AR83" i="4"/>
  <c r="AS83" i="4" s="1"/>
  <c r="L83" i="4" s="1"/>
  <c r="AR82" i="4"/>
  <c r="AS82" i="4" s="1"/>
  <c r="L82" i="4" s="1"/>
  <c r="AR81" i="4"/>
  <c r="AS81" i="4" s="1"/>
  <c r="L81" i="4" s="1"/>
  <c r="AR80" i="4"/>
  <c r="AS80" i="4" s="1"/>
  <c r="L80" i="4" s="1"/>
  <c r="AR79" i="4"/>
  <c r="AS79" i="4" s="1"/>
  <c r="L79" i="4" s="1"/>
  <c r="AR78" i="4"/>
  <c r="AS78" i="4" s="1"/>
  <c r="L78" i="4" s="1"/>
  <c r="AR89" i="4"/>
  <c r="AS89" i="4" s="1"/>
  <c r="L89" i="4" s="1"/>
  <c r="AR88" i="4"/>
  <c r="AS88" i="4" s="1"/>
  <c r="L88" i="4" s="1"/>
  <c r="AR87" i="4"/>
  <c r="AS87" i="4" s="1"/>
  <c r="L87" i="4" s="1"/>
  <c r="AR86" i="4"/>
  <c r="AS86" i="4" s="1"/>
  <c r="L86" i="4" s="1"/>
  <c r="AR85" i="4"/>
  <c r="AS85" i="4" s="1"/>
  <c r="L85" i="4" s="1"/>
  <c r="AR84" i="4"/>
  <c r="AS84" i="4" s="1"/>
  <c r="L84" i="4" s="1"/>
  <c r="J38" i="4" l="1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L88" i="5" l="1"/>
  <c r="K38" i="4"/>
  <c r="S38" i="4" s="1" a="1"/>
  <c r="T38" i="4" s="1"/>
  <c r="B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P18" i="5" l="1"/>
  <c r="T18" i="5" s="1"/>
  <c r="P10" i="5"/>
  <c r="T10" i="5" s="1"/>
  <c r="P13" i="5"/>
  <c r="T13" i="5" s="1"/>
  <c r="P16" i="5"/>
  <c r="T16" i="5" s="1"/>
  <c r="P19" i="5"/>
  <c r="T19" i="5" s="1"/>
  <c r="P11" i="5"/>
  <c r="T11" i="5" s="1"/>
  <c r="P17" i="5"/>
  <c r="T17" i="5" s="1"/>
  <c r="P14" i="5"/>
  <c r="T14" i="5" s="1"/>
  <c r="P12" i="5"/>
  <c r="T12" i="5" s="1"/>
  <c r="P15" i="5"/>
  <c r="T15" i="5" s="1"/>
  <c r="P28" i="5"/>
  <c r="T28" i="5" s="1"/>
  <c r="P20" i="5"/>
  <c r="T20" i="5" s="1"/>
  <c r="P23" i="5"/>
  <c r="T23" i="5" s="1"/>
  <c r="P26" i="5"/>
  <c r="T26" i="5" s="1"/>
  <c r="P29" i="5"/>
  <c r="T29" i="5" s="1"/>
  <c r="P21" i="5"/>
  <c r="T21" i="5" s="1"/>
  <c r="P22" i="5"/>
  <c r="T22" i="5" s="1"/>
  <c r="P25" i="5"/>
  <c r="T25" i="5" s="1"/>
  <c r="P24" i="5"/>
  <c r="T24" i="5" s="1"/>
  <c r="P27" i="5"/>
  <c r="T27" i="5" s="1"/>
  <c r="P38" i="5"/>
  <c r="T38" i="5" s="1"/>
  <c r="P30" i="5"/>
  <c r="T30" i="5" s="1"/>
  <c r="P33" i="5"/>
  <c r="T33" i="5" s="1"/>
  <c r="P35" i="5"/>
  <c r="T35" i="5" s="1"/>
  <c r="P36" i="5"/>
  <c r="T36" i="5" s="1"/>
  <c r="P39" i="5"/>
  <c r="T39" i="5" s="1"/>
  <c r="P31" i="5"/>
  <c r="T31" i="5" s="1"/>
  <c r="P34" i="5"/>
  <c r="T34" i="5" s="1"/>
  <c r="P37" i="5"/>
  <c r="T37" i="5" s="1"/>
  <c r="P32" i="5"/>
  <c r="T32" i="5" s="1"/>
  <c r="P48" i="5"/>
  <c r="T48" i="5" s="1"/>
  <c r="P40" i="5"/>
  <c r="T40" i="5" s="1"/>
  <c r="P43" i="5"/>
  <c r="T43" i="5" s="1"/>
  <c r="P46" i="5"/>
  <c r="T46" i="5" s="1"/>
  <c r="P49" i="5"/>
  <c r="T49" i="5" s="1"/>
  <c r="P41" i="5"/>
  <c r="T41" i="5" s="1"/>
  <c r="P44" i="5"/>
  <c r="T44" i="5" s="1"/>
  <c r="P42" i="5"/>
  <c r="T42" i="5" s="1"/>
  <c r="P47" i="5"/>
  <c r="T47" i="5" s="1"/>
  <c r="P45" i="5"/>
  <c r="T45" i="5" s="1"/>
  <c r="P58" i="5"/>
  <c r="T58" i="5" s="1"/>
  <c r="P50" i="5"/>
  <c r="T50" i="5" s="1"/>
  <c r="P52" i="5"/>
  <c r="T52" i="5" s="1"/>
  <c r="P53" i="5"/>
  <c r="T53" i="5" s="1"/>
  <c r="P56" i="5"/>
  <c r="T56" i="5" s="1"/>
  <c r="P54" i="5"/>
  <c r="T54" i="5" s="1"/>
  <c r="P59" i="5"/>
  <c r="T59" i="5" s="1"/>
  <c r="P51" i="5"/>
  <c r="T51" i="5" s="1"/>
  <c r="P57" i="5"/>
  <c r="T57" i="5" s="1"/>
  <c r="P55" i="5"/>
  <c r="T55" i="5" s="1"/>
  <c r="P68" i="5"/>
  <c r="T68" i="5" s="1"/>
  <c r="P60" i="5"/>
  <c r="T60" i="5" s="1"/>
  <c r="P63" i="5"/>
  <c r="T63" i="5" s="1"/>
  <c r="P62" i="5"/>
  <c r="T62" i="5" s="1"/>
  <c r="P66" i="5"/>
  <c r="T66" i="5" s="1"/>
  <c r="P69" i="5"/>
  <c r="T69" i="5" s="1"/>
  <c r="P61" i="5"/>
  <c r="T61" i="5" s="1"/>
  <c r="P67" i="5"/>
  <c r="T67" i="5" s="1"/>
  <c r="P64" i="5"/>
  <c r="T64" i="5" s="1"/>
  <c r="P65" i="5"/>
  <c r="T65" i="5" s="1"/>
  <c r="P78" i="5"/>
  <c r="T78" i="5" s="1"/>
  <c r="P70" i="5"/>
  <c r="T70" i="5" s="1"/>
  <c r="P75" i="5"/>
  <c r="T75" i="5" s="1"/>
  <c r="P73" i="5"/>
  <c r="T73" i="5" s="1"/>
  <c r="P77" i="5"/>
  <c r="T77" i="5" s="1"/>
  <c r="P72" i="5"/>
  <c r="T72" i="5" s="1"/>
  <c r="P76" i="5"/>
  <c r="T76" i="5" s="1"/>
  <c r="P79" i="5"/>
  <c r="T79" i="5" s="1"/>
  <c r="P71" i="5"/>
  <c r="T71" i="5" s="1"/>
  <c r="P74" i="5"/>
  <c r="T74" i="5" s="1"/>
  <c r="M35" i="4"/>
  <c r="K30" i="4"/>
  <c r="K31" i="4"/>
  <c r="AR38" i="4"/>
  <c r="U38" i="4" s="1"/>
  <c r="K33" i="4"/>
  <c r="K27" i="4"/>
  <c r="S27" i="4" s="1" a="1"/>
  <c r="T27" i="4" s="1"/>
  <c r="K28" i="4"/>
  <c r="K29" i="4"/>
  <c r="K32" i="4"/>
  <c r="K34" i="4"/>
  <c r="K35" i="4"/>
  <c r="K36" i="4"/>
  <c r="K37" i="4"/>
  <c r="S28" i="4" l="1" a="1"/>
  <c r="T28" i="4" s="1"/>
  <c r="S29" i="4" a="1"/>
  <c r="T29" i="4" s="1"/>
  <c r="S36" i="4" a="1"/>
  <c r="T36" i="4" s="1"/>
  <c r="S31" i="4" a="1"/>
  <c r="T31" i="4" s="1"/>
  <c r="S32" i="4" a="1"/>
  <c r="T32" i="4" s="1"/>
  <c r="V32" i="4" s="1"/>
  <c r="W32" i="4" s="1"/>
  <c r="X32" i="4" s="1"/>
  <c r="L32" i="4" s="1"/>
  <c r="S37" i="4" a="1"/>
  <c r="T37" i="4" s="1"/>
  <c r="S33" i="4" a="1"/>
  <c r="T33" i="4" s="1"/>
  <c r="S35" i="4" a="1"/>
  <c r="T35" i="4" s="1"/>
  <c r="S34" i="4" a="1"/>
  <c r="T34" i="4" s="1"/>
  <c r="S30" i="4" a="1"/>
  <c r="T30" i="4" s="1"/>
  <c r="AR29" i="4"/>
  <c r="U29" i="4" s="1"/>
  <c r="AR28" i="4"/>
  <c r="U28" i="4" s="1"/>
  <c r="AR32" i="4"/>
  <c r="U32" i="4" s="1"/>
  <c r="AR27" i="4"/>
  <c r="U27" i="4" s="1"/>
  <c r="V27" i="4" s="1"/>
  <c r="W27" i="4" s="1"/>
  <c r="X27" i="4" s="1"/>
  <c r="L27" i="4" s="1"/>
  <c r="AR33" i="4"/>
  <c r="U33" i="4" s="1"/>
  <c r="AR36" i="4"/>
  <c r="U36" i="4" s="1"/>
  <c r="AR35" i="4"/>
  <c r="U35" i="4" s="1"/>
  <c r="AR31" i="4"/>
  <c r="U31" i="4" s="1"/>
  <c r="AR34" i="4"/>
  <c r="U34" i="4" s="1"/>
  <c r="AR30" i="4"/>
  <c r="U30" i="4" s="1"/>
  <c r="AR37" i="4"/>
  <c r="U37" i="4" s="1"/>
  <c r="V38" i="4"/>
  <c r="W38" i="4" s="1"/>
  <c r="X38" i="4" s="1"/>
  <c r="L38" i="4" s="1"/>
  <c r="V30" i="4" l="1"/>
  <c r="W30" i="4" s="1"/>
  <c r="X30" i="4" s="1"/>
  <c r="L30" i="4" s="1"/>
  <c r="V31" i="4"/>
  <c r="W31" i="4" s="1"/>
  <c r="X31" i="4" s="1"/>
  <c r="L31" i="4" s="1"/>
  <c r="V34" i="4"/>
  <c r="W34" i="4" s="1"/>
  <c r="X34" i="4" s="1"/>
  <c r="L34" i="4" s="1"/>
  <c r="V37" i="4"/>
  <c r="W37" i="4" s="1"/>
  <c r="X37" i="4" s="1"/>
  <c r="L37" i="4" s="1"/>
  <c r="V36" i="4"/>
  <c r="W36" i="4" s="1"/>
  <c r="X36" i="4" s="1"/>
  <c r="L36" i="4" s="1"/>
  <c r="V35" i="4"/>
  <c r="W35" i="4" s="1"/>
  <c r="X35" i="4" s="1"/>
  <c r="L35" i="4" s="1"/>
  <c r="V29" i="4"/>
  <c r="W29" i="4" s="1"/>
  <c r="X29" i="4" s="1"/>
  <c r="L29" i="4" s="1"/>
  <c r="V33" i="4"/>
  <c r="W33" i="4" s="1"/>
  <c r="X33" i="4" s="1"/>
  <c r="L33" i="4" s="1"/>
  <c r="V28" i="4"/>
  <c r="W28" i="4" s="1"/>
  <c r="X28" i="4" s="1"/>
  <c r="L28" i="4" s="1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7" i="4"/>
  <c r="M39" i="4"/>
  <c r="M19" i="4"/>
  <c r="M5" i="5"/>
  <c r="M6" i="5"/>
  <c r="M7" i="5"/>
  <c r="M8" i="5"/>
  <c r="M9" i="5"/>
  <c r="M80" i="5"/>
  <c r="M81" i="5"/>
  <c r="M82" i="5"/>
  <c r="M83" i="5"/>
  <c r="M84" i="5"/>
  <c r="M85" i="5"/>
  <c r="M86" i="5"/>
  <c r="M87" i="5"/>
  <c r="X6" i="5"/>
  <c r="Y6" i="5"/>
  <c r="X7" i="5"/>
  <c r="Y7" i="5"/>
  <c r="X8" i="5"/>
  <c r="Y8" i="5"/>
  <c r="X9" i="5"/>
  <c r="Y9" i="5"/>
  <c r="X80" i="5"/>
  <c r="Y80" i="5"/>
  <c r="X81" i="5"/>
  <c r="Y81" i="5"/>
  <c r="X82" i="5"/>
  <c r="Y82" i="5"/>
  <c r="X83" i="5"/>
  <c r="Y83" i="5"/>
  <c r="X84" i="5"/>
  <c r="Y84" i="5"/>
  <c r="X85" i="5"/>
  <c r="Y85" i="5"/>
  <c r="X86" i="5"/>
  <c r="Y86" i="5"/>
  <c r="X87" i="5"/>
  <c r="Y87" i="5"/>
  <c r="Y5" i="5"/>
  <c r="X5" i="5"/>
  <c r="S11" i="4" l="1" a="1"/>
  <c r="T11" i="4" s="1"/>
  <c r="S21" i="4" a="1"/>
  <c r="T21" i="4" s="1"/>
  <c r="S12" i="4" a="1"/>
  <c r="T12" i="4" s="1"/>
  <c r="S14" i="4" a="1"/>
  <c r="T14" i="4" s="1"/>
  <c r="S23" i="4" a="1"/>
  <c r="T23" i="4" s="1"/>
  <c r="S24" i="4" a="1"/>
  <c r="T24" i="4" s="1"/>
  <c r="S19" i="4" a="1"/>
  <c r="T19" i="4" s="1"/>
  <c r="S13" i="4" a="1"/>
  <c r="T13" i="4" s="1"/>
  <c r="S15" i="4" a="1"/>
  <c r="T15" i="4" s="1"/>
  <c r="S17" i="4" a="1"/>
  <c r="T17" i="4" s="1"/>
  <c r="S25" i="4" a="1"/>
  <c r="T25" i="4" s="1"/>
  <c r="S20" i="4" a="1"/>
  <c r="T20" i="4" s="1"/>
  <c r="S22" i="4" a="1"/>
  <c r="T22" i="4" s="1"/>
  <c r="S10" i="4" a="1"/>
  <c r="T10" i="4" s="1"/>
  <c r="S26" i="4" a="1"/>
  <c r="T26" i="4" s="1"/>
  <c r="S18" i="4" a="1"/>
  <c r="T18" i="4" s="1"/>
  <c r="S16" i="4" a="1"/>
  <c r="T16" i="4" s="1"/>
  <c r="S9" i="4" a="1"/>
  <c r="T9" i="4" s="1"/>
  <c r="S7" i="4" a="1"/>
  <c r="T7" i="4" s="1"/>
  <c r="AR7" i="4"/>
  <c r="U7" i="4" s="1"/>
  <c r="AR40" i="4"/>
  <c r="AS40" i="4" s="1"/>
  <c r="L40" i="4" s="1"/>
  <c r="AR41" i="4"/>
  <c r="AS41" i="4" s="1"/>
  <c r="L41" i="4" s="1"/>
  <c r="AR90" i="4"/>
  <c r="AS90" i="4" s="1"/>
  <c r="L90" i="4" s="1"/>
  <c r="AR91" i="4"/>
  <c r="AS91" i="4" s="1"/>
  <c r="L91" i="4" s="1"/>
  <c r="AR92" i="4"/>
  <c r="AS92" i="4" s="1"/>
  <c r="L92" i="4" s="1"/>
  <c r="AR93" i="4"/>
  <c r="AS93" i="4" s="1"/>
  <c r="L93" i="4" s="1"/>
  <c r="AR39" i="4"/>
  <c r="AS39" i="4" s="1"/>
  <c r="L39" i="4" s="1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V7" i="4" l="1"/>
  <c r="W7" i="4" s="1"/>
  <c r="X7" i="4" s="1"/>
  <c r="L7" i="4" s="1"/>
  <c r="K8" i="4"/>
  <c r="S8" i="4" l="1" a="1"/>
  <c r="T8" i="4" s="1"/>
  <c r="AR8" i="4"/>
  <c r="U8" i="4" s="1"/>
  <c r="AR20" i="4"/>
  <c r="U20" i="4" s="1"/>
  <c r="AR19" i="4"/>
  <c r="U19" i="4" s="1"/>
  <c r="V19" i="4" s="1"/>
  <c r="W19" i="4" s="1"/>
  <c r="X19" i="4" s="1"/>
  <c r="L19" i="4" s="1"/>
  <c r="AR11" i="4"/>
  <c r="U11" i="4" s="1"/>
  <c r="AR26" i="4"/>
  <c r="U26" i="4" s="1"/>
  <c r="AR18" i="4"/>
  <c r="U18" i="4" s="1"/>
  <c r="AR10" i="4"/>
  <c r="U10" i="4" s="1"/>
  <c r="AR12" i="4"/>
  <c r="U12" i="4" s="1"/>
  <c r="AR25" i="4"/>
  <c r="U25" i="4" s="1"/>
  <c r="AR17" i="4"/>
  <c r="U17" i="4" s="1"/>
  <c r="AR9" i="4"/>
  <c r="U9" i="4" s="1"/>
  <c r="AR24" i="4"/>
  <c r="U24" i="4" s="1"/>
  <c r="AR16" i="4"/>
  <c r="U16" i="4" s="1"/>
  <c r="AR21" i="4"/>
  <c r="U21" i="4" s="1"/>
  <c r="AR23" i="4"/>
  <c r="U23" i="4" s="1"/>
  <c r="AR15" i="4"/>
  <c r="U15" i="4" s="1"/>
  <c r="AR22" i="4"/>
  <c r="U22" i="4" s="1"/>
  <c r="AR14" i="4"/>
  <c r="U14" i="4" s="1"/>
  <c r="AR13" i="4"/>
  <c r="U13" i="4" s="1"/>
  <c r="V8" i="4" l="1"/>
  <c r="W8" i="4" s="1"/>
  <c r="X8" i="4" s="1"/>
  <c r="L8" i="4" s="1"/>
  <c r="V15" i="4"/>
  <c r="W15" i="4" s="1"/>
  <c r="X15" i="4" s="1"/>
  <c r="L15" i="4" s="1"/>
  <c r="V12" i="4"/>
  <c r="W12" i="4" s="1"/>
  <c r="X12" i="4" s="1"/>
  <c r="L12" i="4" s="1"/>
  <c r="V11" i="4"/>
  <c r="W11" i="4" s="1"/>
  <c r="X11" i="4" s="1"/>
  <c r="L11" i="4" s="1"/>
  <c r="V10" i="4"/>
  <c r="W10" i="4" s="1"/>
  <c r="X10" i="4" s="1"/>
  <c r="L10" i="4" s="1"/>
  <c r="V21" i="4"/>
  <c r="W21" i="4" s="1"/>
  <c r="X21" i="4" s="1"/>
  <c r="L21" i="4" s="1"/>
  <c r="V16" i="4"/>
  <c r="W16" i="4" s="1"/>
  <c r="X16" i="4" s="1"/>
  <c r="L16" i="4" s="1"/>
  <c r="V25" i="4"/>
  <c r="W25" i="4" s="1"/>
  <c r="X25" i="4" s="1"/>
  <c r="L25" i="4" s="1"/>
  <c r="V14" i="4"/>
  <c r="W14" i="4" s="1"/>
  <c r="X14" i="4" s="1"/>
  <c r="L14" i="4" s="1"/>
  <c r="V24" i="4"/>
  <c r="W24" i="4" s="1"/>
  <c r="X24" i="4" s="1"/>
  <c r="L24" i="4" s="1"/>
  <c r="V13" i="4"/>
  <c r="W13" i="4" s="1"/>
  <c r="X13" i="4" s="1"/>
  <c r="L13" i="4" s="1"/>
  <c r="V17" i="4"/>
  <c r="W17" i="4" s="1"/>
  <c r="X17" i="4" s="1"/>
  <c r="L17" i="4" s="1"/>
  <c r="V26" i="4"/>
  <c r="W26" i="4" s="1"/>
  <c r="X26" i="4" s="1"/>
  <c r="L26" i="4" s="1"/>
  <c r="V18" i="4"/>
  <c r="W18" i="4" s="1"/>
  <c r="X18" i="4" s="1"/>
  <c r="L18" i="4" s="1"/>
  <c r="V22" i="4"/>
  <c r="W22" i="4" s="1"/>
  <c r="X22" i="4" s="1"/>
  <c r="L22" i="4" s="1"/>
  <c r="V20" i="4"/>
  <c r="W20" i="4" s="1"/>
  <c r="X20" i="4" s="1"/>
  <c r="L20" i="4" s="1"/>
  <c r="V23" i="4"/>
  <c r="W23" i="4" s="1"/>
  <c r="X23" i="4" s="1"/>
  <c r="L23" i="4" s="1"/>
  <c r="V9" i="4"/>
  <c r="W9" i="4" s="1"/>
  <c r="X9" i="4" s="1"/>
  <c r="L9" i="4" s="1"/>
  <c r="X88" i="5" l="1"/>
  <c r="Y88" i="5"/>
  <c r="P82" i="5"/>
  <c r="T82" i="5" s="1"/>
  <c r="P87" i="5"/>
  <c r="T87" i="5" s="1"/>
  <c r="P9" i="5"/>
  <c r="T9" i="5" s="1"/>
  <c r="P84" i="5"/>
  <c r="T84" i="5" s="1"/>
  <c r="P81" i="5"/>
  <c r="T81" i="5" s="1"/>
  <c r="P86" i="5"/>
  <c r="T86" i="5" s="1"/>
  <c r="P8" i="5"/>
  <c r="T8" i="5" s="1"/>
  <c r="P83" i="5"/>
  <c r="T83" i="5" s="1"/>
  <c r="P80" i="5"/>
  <c r="T80" i="5" s="1"/>
  <c r="P85" i="5"/>
  <c r="T85" i="5" s="1"/>
  <c r="C96" i="6"/>
  <c r="C101" i="6"/>
  <c r="C105" i="6"/>
  <c r="C93" i="6"/>
  <c r="C110" i="6" l="1"/>
  <c r="D110" i="6" s="1"/>
  <c r="C109" i="6"/>
  <c r="C108" i="6"/>
  <c r="C107" i="6"/>
  <c r="C106" i="6"/>
  <c r="C104" i="6"/>
  <c r="C103" i="6"/>
  <c r="C102" i="6"/>
  <c r="C100" i="6"/>
  <c r="C99" i="6"/>
  <c r="C98" i="6"/>
  <c r="C97" i="6"/>
  <c r="C95" i="6"/>
  <c r="C94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D105" i="6" l="1"/>
  <c r="D101" i="6"/>
  <c r="D96" i="6"/>
  <c r="D99" i="6"/>
  <c r="D65" i="6"/>
  <c r="D84" i="6"/>
  <c r="D93" i="6"/>
  <c r="D91" i="6"/>
  <c r="D108" i="6"/>
  <c r="D28" i="6"/>
  <c r="D92" i="6"/>
  <c r="D104" i="6"/>
  <c r="D11" i="6"/>
  <c r="D69" i="6"/>
  <c r="D23" i="6"/>
  <c r="D107" i="6"/>
  <c r="D46" i="6"/>
  <c r="D40" i="6"/>
  <c r="D5" i="6"/>
  <c r="D75" i="6"/>
  <c r="D87" i="6"/>
  <c r="D7" i="6"/>
  <c r="D12" i="6"/>
  <c r="D17" i="6"/>
  <c r="D18" i="6"/>
  <c r="D24" i="6"/>
  <c r="D30" i="6"/>
  <c r="D53" i="6"/>
  <c r="D59" i="6"/>
  <c r="D71" i="6"/>
  <c r="D76" i="6"/>
  <c r="D81" i="6"/>
  <c r="D82" i="6"/>
  <c r="D88" i="6"/>
  <c r="D94" i="6"/>
  <c r="D13" i="6"/>
  <c r="D19" i="6"/>
  <c r="D31" i="6"/>
  <c r="D36" i="6"/>
  <c r="D42" i="6"/>
  <c r="D41" i="6"/>
  <c r="D48" i="6"/>
  <c r="D54" i="6"/>
  <c r="D77" i="6"/>
  <c r="D83" i="6"/>
  <c r="D95" i="6"/>
  <c r="D100" i="6"/>
  <c r="D106" i="6"/>
  <c r="D33" i="6"/>
  <c r="D34" i="6"/>
  <c r="D29" i="6"/>
  <c r="D47" i="6"/>
  <c r="D57" i="6"/>
  <c r="D58" i="6"/>
  <c r="D64" i="6"/>
  <c r="D1" i="6"/>
  <c r="D2" i="6"/>
  <c r="D37" i="6"/>
  <c r="D3" i="6"/>
  <c r="D15" i="6"/>
  <c r="D20" i="6"/>
  <c r="D25" i="6"/>
  <c r="D26" i="6"/>
  <c r="D32" i="6"/>
  <c r="D38" i="6"/>
  <c r="D61" i="6"/>
  <c r="D67" i="6"/>
  <c r="D79" i="6"/>
  <c r="D89" i="6"/>
  <c r="D90" i="6"/>
  <c r="D102" i="6"/>
  <c r="D8" i="6"/>
  <c r="D43" i="6"/>
  <c r="D60" i="6"/>
  <c r="D72" i="6"/>
  <c r="D6" i="6"/>
  <c r="D35" i="6"/>
  <c r="D52" i="6"/>
  <c r="D70" i="6"/>
  <c r="D14" i="6"/>
  <c r="D55" i="6"/>
  <c r="D66" i="6"/>
  <c r="D78" i="6"/>
  <c r="D21" i="6"/>
  <c r="D27" i="6"/>
  <c r="D39" i="6"/>
  <c r="D44" i="6"/>
  <c r="D49" i="6"/>
  <c r="D50" i="6"/>
  <c r="D56" i="6"/>
  <c r="D62" i="6"/>
  <c r="D85" i="6"/>
  <c r="D103" i="6"/>
  <c r="D4" i="6"/>
  <c r="D9" i="6"/>
  <c r="D10" i="6"/>
  <c r="D16" i="6"/>
  <c r="D22" i="6"/>
  <c r="D45" i="6"/>
  <c r="D51" i="6"/>
  <c r="D63" i="6"/>
  <c r="D68" i="6"/>
  <c r="D73" i="6"/>
  <c r="D74" i="6"/>
  <c r="D80" i="6"/>
  <c r="D86" i="6"/>
  <c r="D109" i="6"/>
  <c r="D97" i="6"/>
  <c r="D98" i="6"/>
  <c r="P7" i="5" l="1"/>
  <c r="T7" i="5" s="1"/>
  <c r="P6" i="5"/>
  <c r="T6" i="5" s="1"/>
  <c r="P5" i="5" l="1"/>
  <c r="M88" i="5" s="1"/>
  <c r="T5" i="5" l="1"/>
  <c r="G150" i="2" l="1"/>
  <c r="F150" i="2"/>
  <c r="E150" i="2"/>
  <c r="A150" i="2"/>
  <c r="G149" i="2"/>
  <c r="F149" i="2"/>
  <c r="E149" i="2"/>
  <c r="A149" i="2"/>
  <c r="G148" i="2"/>
  <c r="F148" i="2"/>
  <c r="E148" i="2"/>
  <c r="A148" i="2"/>
  <c r="G147" i="2"/>
  <c r="F147" i="2"/>
  <c r="E147" i="2"/>
  <c r="A147" i="2"/>
  <c r="G146" i="2"/>
  <c r="F146" i="2"/>
  <c r="E146" i="2"/>
  <c r="A146" i="2"/>
  <c r="G145" i="2"/>
  <c r="F145" i="2"/>
  <c r="E145" i="2"/>
  <c r="A145" i="2"/>
  <c r="G144" i="2"/>
  <c r="F144" i="2"/>
  <c r="E144" i="2"/>
  <c r="A144" i="2"/>
  <c r="G143" i="2"/>
  <c r="F143" i="2"/>
  <c r="E143" i="2"/>
  <c r="A143" i="2"/>
  <c r="G142" i="2"/>
  <c r="F142" i="2"/>
  <c r="E142" i="2"/>
  <c r="A142" i="2"/>
  <c r="G141" i="2"/>
  <c r="F141" i="2"/>
  <c r="E141" i="2"/>
  <c r="A141" i="2"/>
  <c r="G140" i="2"/>
  <c r="F140" i="2"/>
  <c r="E140" i="2"/>
  <c r="A140" i="2"/>
  <c r="G139" i="2"/>
  <c r="F139" i="2"/>
  <c r="E139" i="2"/>
  <c r="A139" i="2"/>
  <c r="G138" i="2"/>
  <c r="F138" i="2"/>
  <c r="E138" i="2"/>
  <c r="A138" i="2"/>
  <c r="G137" i="2"/>
  <c r="F137" i="2"/>
  <c r="E137" i="2"/>
  <c r="A137" i="2"/>
  <c r="G136" i="2"/>
  <c r="F136" i="2"/>
  <c r="E136" i="2"/>
  <c r="A136" i="2"/>
  <c r="G135" i="2"/>
  <c r="F135" i="2"/>
  <c r="E135" i="2"/>
  <c r="A135" i="2"/>
  <c r="G134" i="2"/>
  <c r="F134" i="2"/>
  <c r="E134" i="2"/>
  <c r="A134" i="2"/>
  <c r="G133" i="2"/>
  <c r="F133" i="2"/>
  <c r="E133" i="2"/>
  <c r="A133" i="2"/>
  <c r="G132" i="2"/>
  <c r="F132" i="2"/>
  <c r="E132" i="2"/>
  <c r="A132" i="2"/>
  <c r="G131" i="2"/>
  <c r="F131" i="2"/>
  <c r="E131" i="2"/>
  <c r="A131" i="2"/>
  <c r="G130" i="2"/>
  <c r="F130" i="2"/>
  <c r="E130" i="2"/>
  <c r="A130" i="2"/>
  <c r="G129" i="2"/>
  <c r="F129" i="2"/>
  <c r="E129" i="2"/>
  <c r="A129" i="2"/>
  <c r="G128" i="2"/>
  <c r="F128" i="2"/>
  <c r="E128" i="2"/>
  <c r="A128" i="2"/>
  <c r="G127" i="2"/>
  <c r="F127" i="2"/>
  <c r="E127" i="2"/>
  <c r="A127" i="2"/>
  <c r="G126" i="2"/>
  <c r="F126" i="2"/>
  <c r="E126" i="2"/>
  <c r="A126" i="2"/>
  <c r="G125" i="2"/>
  <c r="F125" i="2"/>
  <c r="E125" i="2"/>
  <c r="A125" i="2"/>
  <c r="G124" i="2"/>
  <c r="F124" i="2"/>
  <c r="E124" i="2"/>
  <c r="A124" i="2"/>
  <c r="G123" i="2"/>
  <c r="F123" i="2"/>
  <c r="E123" i="2"/>
  <c r="A123" i="2"/>
  <c r="G122" i="2"/>
  <c r="F122" i="2"/>
  <c r="E122" i="2"/>
  <c r="A122" i="2"/>
  <c r="G121" i="2"/>
  <c r="F121" i="2"/>
  <c r="E121" i="2"/>
  <c r="A121" i="2"/>
  <c r="G120" i="2"/>
  <c r="F120" i="2"/>
  <c r="E120" i="2"/>
  <c r="A120" i="2"/>
  <c r="G119" i="2"/>
  <c r="F119" i="2"/>
  <c r="E119" i="2"/>
  <c r="A119" i="2"/>
  <c r="G118" i="2"/>
  <c r="F118" i="2"/>
  <c r="E118" i="2"/>
  <c r="A118" i="2"/>
  <c r="G117" i="2"/>
  <c r="F117" i="2"/>
  <c r="E117" i="2"/>
  <c r="A117" i="2"/>
  <c r="G116" i="2"/>
  <c r="F116" i="2"/>
  <c r="E116" i="2"/>
  <c r="A116" i="2"/>
  <c r="G115" i="2"/>
  <c r="F115" i="2"/>
  <c r="E115" i="2"/>
  <c r="A115" i="2"/>
  <c r="G114" i="2"/>
  <c r="F114" i="2"/>
  <c r="E114" i="2"/>
  <c r="A114" i="2"/>
  <c r="G113" i="2"/>
  <c r="F113" i="2"/>
  <c r="E113" i="2"/>
  <c r="A113" i="2"/>
  <c r="G112" i="2"/>
  <c r="F112" i="2"/>
  <c r="E112" i="2"/>
  <c r="A112" i="2"/>
  <c r="G111" i="2"/>
  <c r="F111" i="2"/>
  <c r="E111" i="2"/>
  <c r="A111" i="2"/>
  <c r="G110" i="2"/>
  <c r="F110" i="2"/>
  <c r="E110" i="2"/>
  <c r="A110" i="2"/>
  <c r="G109" i="2"/>
  <c r="F109" i="2"/>
  <c r="E109" i="2"/>
  <c r="A109" i="2"/>
  <c r="G108" i="2"/>
  <c r="F108" i="2"/>
  <c r="E108" i="2"/>
  <c r="A108" i="2"/>
  <c r="G107" i="2"/>
  <c r="F107" i="2"/>
  <c r="E107" i="2"/>
  <c r="A107" i="2"/>
  <c r="G106" i="2"/>
  <c r="F106" i="2"/>
  <c r="E106" i="2"/>
  <c r="A106" i="2"/>
  <c r="G105" i="2"/>
  <c r="F105" i="2"/>
  <c r="E105" i="2"/>
  <c r="A105" i="2"/>
  <c r="G104" i="2"/>
  <c r="F104" i="2"/>
  <c r="E104" i="2"/>
  <c r="A104" i="2"/>
  <c r="G103" i="2"/>
  <c r="F103" i="2"/>
  <c r="E103" i="2"/>
  <c r="A103" i="2"/>
  <c r="G102" i="2"/>
  <c r="F102" i="2"/>
  <c r="E102" i="2"/>
  <c r="A102" i="2"/>
  <c r="G101" i="2"/>
  <c r="F101" i="2"/>
  <c r="E101" i="2"/>
  <c r="A101" i="2"/>
  <c r="G100" i="2"/>
  <c r="F100" i="2"/>
  <c r="E100" i="2"/>
  <c r="A100" i="2"/>
  <c r="G99" i="2"/>
  <c r="F99" i="2"/>
  <c r="E99" i="2"/>
  <c r="A99" i="2"/>
  <c r="G98" i="2"/>
  <c r="F98" i="2"/>
  <c r="E98" i="2"/>
  <c r="A98" i="2"/>
  <c r="G97" i="2"/>
  <c r="F97" i="2"/>
  <c r="E97" i="2"/>
  <c r="A97" i="2"/>
  <c r="G96" i="2"/>
  <c r="F96" i="2"/>
  <c r="E96" i="2"/>
  <c r="A96" i="2"/>
  <c r="G95" i="2"/>
  <c r="F95" i="2"/>
  <c r="E95" i="2"/>
  <c r="A95" i="2"/>
  <c r="G94" i="2"/>
  <c r="F94" i="2"/>
  <c r="E94" i="2"/>
  <c r="A94" i="2"/>
  <c r="G93" i="2"/>
  <c r="F93" i="2"/>
  <c r="E93" i="2"/>
  <c r="A93" i="2"/>
  <c r="G92" i="2"/>
  <c r="F92" i="2"/>
  <c r="E92" i="2"/>
  <c r="A92" i="2"/>
  <c r="G91" i="2"/>
  <c r="F91" i="2"/>
  <c r="E91" i="2"/>
  <c r="A91" i="2"/>
  <c r="G90" i="2"/>
  <c r="F90" i="2"/>
  <c r="E90" i="2"/>
  <c r="A90" i="2"/>
  <c r="G89" i="2"/>
  <c r="F89" i="2"/>
  <c r="E89" i="2"/>
  <c r="A89" i="2"/>
  <c r="G88" i="2"/>
  <c r="F88" i="2"/>
  <c r="E88" i="2"/>
  <c r="A88" i="2"/>
  <c r="G87" i="2"/>
  <c r="F87" i="2"/>
  <c r="E87" i="2"/>
  <c r="A87" i="2"/>
  <c r="G86" i="2"/>
  <c r="F86" i="2"/>
  <c r="E86" i="2"/>
  <c r="A86" i="2"/>
  <c r="G85" i="2"/>
  <c r="F85" i="2"/>
  <c r="E85" i="2"/>
  <c r="A85" i="2"/>
  <c r="G84" i="2"/>
  <c r="F84" i="2"/>
  <c r="E84" i="2"/>
  <c r="A84" i="2"/>
  <c r="G83" i="2"/>
  <c r="F83" i="2"/>
  <c r="E83" i="2"/>
  <c r="A83" i="2"/>
  <c r="G82" i="2"/>
  <c r="F82" i="2"/>
  <c r="E82" i="2"/>
  <c r="A82" i="2"/>
  <c r="G81" i="2"/>
  <c r="F81" i="2"/>
  <c r="E81" i="2"/>
  <c r="A81" i="2"/>
  <c r="G80" i="2"/>
  <c r="F80" i="2"/>
  <c r="E80" i="2"/>
  <c r="A80" i="2"/>
  <c r="G79" i="2"/>
  <c r="F79" i="2"/>
  <c r="E79" i="2"/>
  <c r="A79" i="2"/>
  <c r="G78" i="2"/>
  <c r="F78" i="2"/>
  <c r="E78" i="2"/>
  <c r="A78" i="2"/>
  <c r="G77" i="2"/>
  <c r="F77" i="2"/>
  <c r="E77" i="2"/>
  <c r="A77" i="2"/>
  <c r="G76" i="2"/>
  <c r="F76" i="2"/>
  <c r="E76" i="2"/>
  <c r="A76" i="2"/>
  <c r="G75" i="2"/>
  <c r="F75" i="2"/>
  <c r="E75" i="2"/>
  <c r="A75" i="2"/>
  <c r="G74" i="2"/>
  <c r="F74" i="2"/>
  <c r="E74" i="2"/>
  <c r="A74" i="2"/>
  <c r="G73" i="2"/>
  <c r="F73" i="2"/>
  <c r="E73" i="2"/>
  <c r="A73" i="2"/>
  <c r="G72" i="2"/>
  <c r="F72" i="2"/>
  <c r="E72" i="2"/>
  <c r="A72" i="2"/>
  <c r="G71" i="2"/>
  <c r="F71" i="2"/>
  <c r="E71" i="2"/>
  <c r="A71" i="2"/>
  <c r="P71" i="2" s="1"/>
  <c r="G70" i="2"/>
  <c r="F70" i="2"/>
  <c r="E70" i="2"/>
  <c r="A70" i="2"/>
  <c r="P70" i="2" s="1"/>
  <c r="G69" i="2"/>
  <c r="F69" i="2"/>
  <c r="E69" i="2"/>
  <c r="A69" i="2"/>
  <c r="P69" i="2" s="1"/>
  <c r="G68" i="2"/>
  <c r="F68" i="2"/>
  <c r="E68" i="2"/>
  <c r="A68" i="2"/>
  <c r="P68" i="2" s="1"/>
  <c r="G67" i="2"/>
  <c r="F67" i="2"/>
  <c r="E67" i="2"/>
  <c r="A67" i="2"/>
  <c r="P67" i="2" s="1"/>
  <c r="G66" i="2"/>
  <c r="F66" i="2"/>
  <c r="E66" i="2"/>
  <c r="A66" i="2"/>
  <c r="P66" i="2" s="1"/>
  <c r="G65" i="2"/>
  <c r="F65" i="2"/>
  <c r="E65" i="2"/>
  <c r="A65" i="2"/>
  <c r="P65" i="2" s="1"/>
  <c r="G64" i="2"/>
  <c r="F64" i="2"/>
  <c r="E64" i="2"/>
  <c r="A64" i="2"/>
  <c r="P64" i="2" s="1"/>
  <c r="G63" i="2"/>
  <c r="F63" i="2"/>
  <c r="E63" i="2"/>
  <c r="A63" i="2"/>
  <c r="P63" i="2" s="1"/>
  <c r="G62" i="2"/>
  <c r="F62" i="2"/>
  <c r="E62" i="2"/>
  <c r="A62" i="2"/>
  <c r="P62" i="2" s="1"/>
  <c r="G61" i="2"/>
  <c r="F61" i="2"/>
  <c r="E61" i="2"/>
  <c r="A61" i="2"/>
  <c r="P61" i="2" s="1"/>
  <c r="G60" i="2"/>
  <c r="F60" i="2"/>
  <c r="E60" i="2"/>
  <c r="A60" i="2"/>
  <c r="P60" i="2" s="1"/>
  <c r="G59" i="2"/>
  <c r="F59" i="2"/>
  <c r="E59" i="2"/>
  <c r="A59" i="2"/>
  <c r="P59" i="2" s="1"/>
  <c r="G58" i="2"/>
  <c r="F58" i="2"/>
  <c r="E58" i="2"/>
  <c r="A58" i="2"/>
  <c r="P58" i="2" s="1"/>
  <c r="G57" i="2"/>
  <c r="F57" i="2"/>
  <c r="E57" i="2"/>
  <c r="A57" i="2"/>
  <c r="P57" i="2" s="1"/>
  <c r="G56" i="2"/>
  <c r="F56" i="2"/>
  <c r="E56" i="2"/>
  <c r="A56" i="2"/>
  <c r="P56" i="2" s="1"/>
  <c r="G55" i="2"/>
  <c r="F55" i="2"/>
  <c r="E55" i="2"/>
  <c r="A55" i="2"/>
  <c r="P55" i="2" s="1"/>
  <c r="G54" i="2"/>
  <c r="F54" i="2"/>
  <c r="E54" i="2"/>
  <c r="A54" i="2"/>
  <c r="P54" i="2" s="1"/>
  <c r="G53" i="2"/>
  <c r="F53" i="2"/>
  <c r="E53" i="2"/>
  <c r="A53" i="2"/>
  <c r="P53" i="2" s="1"/>
  <c r="G52" i="2"/>
  <c r="F52" i="2"/>
  <c r="E52" i="2"/>
  <c r="A52" i="2"/>
  <c r="P52" i="2" s="1"/>
  <c r="G51" i="2"/>
  <c r="F51" i="2"/>
  <c r="E51" i="2"/>
  <c r="A51" i="2"/>
  <c r="P51" i="2" s="1"/>
  <c r="G50" i="2"/>
  <c r="F50" i="2"/>
  <c r="E50" i="2"/>
  <c r="A50" i="2"/>
  <c r="P50" i="2" s="1"/>
  <c r="G49" i="2"/>
  <c r="F49" i="2"/>
  <c r="E49" i="2"/>
  <c r="A49" i="2"/>
  <c r="P49" i="2" s="1"/>
  <c r="G48" i="2"/>
  <c r="F48" i="2"/>
  <c r="E48" i="2"/>
  <c r="A48" i="2"/>
  <c r="P48" i="2" s="1"/>
  <c r="G47" i="2"/>
  <c r="F47" i="2"/>
  <c r="E47" i="2"/>
  <c r="A47" i="2"/>
  <c r="P47" i="2" s="1"/>
  <c r="G46" i="2"/>
  <c r="F46" i="2"/>
  <c r="E46" i="2"/>
  <c r="A46" i="2"/>
  <c r="P46" i="2" s="1"/>
  <c r="G45" i="2"/>
  <c r="F45" i="2"/>
  <c r="E45" i="2"/>
  <c r="A45" i="2"/>
  <c r="P45" i="2" s="1"/>
  <c r="G44" i="2"/>
  <c r="F44" i="2"/>
  <c r="E44" i="2"/>
  <c r="A44" i="2"/>
  <c r="P44" i="2" s="1"/>
  <c r="G43" i="2"/>
  <c r="F43" i="2"/>
  <c r="E43" i="2"/>
  <c r="A43" i="2"/>
  <c r="P43" i="2" s="1"/>
  <c r="G42" i="2"/>
  <c r="F42" i="2"/>
  <c r="E42" i="2"/>
  <c r="A42" i="2"/>
  <c r="P42" i="2" s="1"/>
  <c r="G41" i="2"/>
  <c r="F41" i="2"/>
  <c r="E41" i="2"/>
  <c r="A41" i="2"/>
  <c r="P41" i="2" s="1"/>
  <c r="G40" i="2"/>
  <c r="F40" i="2"/>
  <c r="E40" i="2"/>
  <c r="A40" i="2"/>
  <c r="P40" i="2" s="1"/>
  <c r="G39" i="2"/>
  <c r="F39" i="2"/>
  <c r="E39" i="2"/>
  <c r="A39" i="2"/>
  <c r="P39" i="2" s="1"/>
  <c r="G38" i="2"/>
  <c r="F38" i="2"/>
  <c r="E38" i="2"/>
  <c r="A38" i="2"/>
  <c r="P38" i="2" s="1"/>
  <c r="G37" i="2"/>
  <c r="F37" i="2"/>
  <c r="E37" i="2"/>
  <c r="A37" i="2"/>
  <c r="P37" i="2" s="1"/>
  <c r="G36" i="2"/>
  <c r="V36" i="2" s="1"/>
  <c r="F36" i="2"/>
  <c r="U36" i="2" s="1"/>
  <c r="E36" i="2"/>
  <c r="T36" i="2" s="1"/>
  <c r="A36" i="2"/>
  <c r="P36" i="2" s="1"/>
  <c r="G35" i="2"/>
  <c r="V35" i="2" s="1"/>
  <c r="F35" i="2"/>
  <c r="U35" i="2" s="1"/>
  <c r="E35" i="2"/>
  <c r="T35" i="2" s="1"/>
  <c r="A35" i="2"/>
  <c r="P35" i="2" s="1"/>
  <c r="G34" i="2"/>
  <c r="V34" i="2" s="1"/>
  <c r="F34" i="2"/>
  <c r="U34" i="2" s="1"/>
  <c r="E34" i="2"/>
  <c r="T34" i="2" s="1"/>
  <c r="A34" i="2"/>
  <c r="P34" i="2" s="1"/>
  <c r="G33" i="2"/>
  <c r="V33" i="2" s="1"/>
  <c r="F33" i="2"/>
  <c r="U33" i="2" s="1"/>
  <c r="E33" i="2"/>
  <c r="T33" i="2" s="1"/>
  <c r="A33" i="2"/>
  <c r="P33" i="2" s="1"/>
  <c r="G32" i="2"/>
  <c r="V32" i="2" s="1"/>
  <c r="F32" i="2"/>
  <c r="U32" i="2" s="1"/>
  <c r="E32" i="2"/>
  <c r="T32" i="2" s="1"/>
  <c r="A32" i="2"/>
  <c r="P32" i="2" s="1"/>
  <c r="G31" i="2"/>
  <c r="V31" i="2" s="1"/>
  <c r="F31" i="2"/>
  <c r="U31" i="2" s="1"/>
  <c r="E31" i="2"/>
  <c r="T31" i="2" s="1"/>
  <c r="A31" i="2"/>
  <c r="P31" i="2" s="1"/>
  <c r="G30" i="2"/>
  <c r="V30" i="2" s="1"/>
  <c r="F30" i="2"/>
  <c r="U30" i="2" s="1"/>
  <c r="E30" i="2"/>
  <c r="T30" i="2" s="1"/>
  <c r="A30" i="2"/>
  <c r="P30" i="2" s="1"/>
  <c r="G29" i="2"/>
  <c r="V29" i="2" s="1"/>
  <c r="F29" i="2"/>
  <c r="U29" i="2" s="1"/>
  <c r="E29" i="2"/>
  <c r="T29" i="2" s="1"/>
  <c r="A29" i="2"/>
  <c r="P29" i="2" s="1"/>
  <c r="G28" i="2"/>
  <c r="V28" i="2" s="1"/>
  <c r="F28" i="2"/>
  <c r="U28" i="2" s="1"/>
  <c r="E28" i="2"/>
  <c r="T28" i="2" s="1"/>
  <c r="A28" i="2"/>
  <c r="P28" i="2" s="1"/>
  <c r="G27" i="2"/>
  <c r="V27" i="2" s="1"/>
  <c r="F27" i="2"/>
  <c r="U27" i="2" s="1"/>
  <c r="E27" i="2"/>
  <c r="T27" i="2" s="1"/>
  <c r="A27" i="2"/>
  <c r="P27" i="2" s="1"/>
  <c r="G26" i="2"/>
  <c r="V26" i="2" s="1"/>
  <c r="F26" i="2"/>
  <c r="U26" i="2" s="1"/>
  <c r="E26" i="2"/>
  <c r="T26" i="2" s="1"/>
  <c r="A26" i="2"/>
  <c r="P26" i="2" s="1"/>
  <c r="G25" i="2"/>
  <c r="V25" i="2" s="1"/>
  <c r="F25" i="2"/>
  <c r="U25" i="2" s="1"/>
  <c r="E25" i="2"/>
  <c r="T25" i="2" s="1"/>
  <c r="A25" i="2"/>
  <c r="P25" i="2" s="1"/>
  <c r="G24" i="2"/>
  <c r="V24" i="2" s="1"/>
  <c r="F24" i="2"/>
  <c r="U24" i="2" s="1"/>
  <c r="E24" i="2"/>
  <c r="T24" i="2" s="1"/>
  <c r="A24" i="2"/>
  <c r="P24" i="2" s="1"/>
  <c r="G23" i="2"/>
  <c r="V23" i="2" s="1"/>
  <c r="F23" i="2"/>
  <c r="U23" i="2" s="1"/>
  <c r="E23" i="2"/>
  <c r="T23" i="2" s="1"/>
  <c r="A23" i="2"/>
  <c r="P23" i="2" s="1"/>
  <c r="G22" i="2"/>
  <c r="V22" i="2" s="1"/>
  <c r="F22" i="2"/>
  <c r="U22" i="2" s="1"/>
  <c r="E22" i="2"/>
  <c r="T22" i="2" s="1"/>
  <c r="A22" i="2"/>
  <c r="P22" i="2" s="1"/>
  <c r="G21" i="2"/>
  <c r="V21" i="2" s="1"/>
  <c r="F21" i="2"/>
  <c r="U21" i="2" s="1"/>
  <c r="E21" i="2"/>
  <c r="T21" i="2" s="1"/>
  <c r="A21" i="2"/>
  <c r="P21" i="2" s="1"/>
  <c r="G20" i="2"/>
  <c r="V20" i="2" s="1"/>
  <c r="F20" i="2"/>
  <c r="U20" i="2" s="1"/>
  <c r="E20" i="2"/>
  <c r="T20" i="2" s="1"/>
  <c r="A20" i="2"/>
  <c r="P20" i="2" s="1"/>
  <c r="G19" i="2"/>
  <c r="V19" i="2" s="1"/>
  <c r="F19" i="2"/>
  <c r="U19" i="2" s="1"/>
  <c r="E19" i="2"/>
  <c r="T19" i="2" s="1"/>
  <c r="A19" i="2"/>
  <c r="P19" i="2" s="1"/>
  <c r="G18" i="2"/>
  <c r="V18" i="2" s="1"/>
  <c r="F18" i="2"/>
  <c r="U18" i="2" s="1"/>
  <c r="E18" i="2"/>
  <c r="T18" i="2" s="1"/>
  <c r="A18" i="2"/>
  <c r="P18" i="2" s="1"/>
  <c r="G17" i="2"/>
  <c r="V17" i="2" s="1"/>
  <c r="F17" i="2"/>
  <c r="U17" i="2" s="1"/>
  <c r="E17" i="2"/>
  <c r="T17" i="2" s="1"/>
  <c r="A17" i="2"/>
  <c r="P17" i="2" s="1"/>
  <c r="G16" i="2"/>
  <c r="V16" i="2" s="1"/>
  <c r="F16" i="2"/>
  <c r="U16" i="2" s="1"/>
  <c r="E16" i="2"/>
  <c r="T16" i="2" s="1"/>
  <c r="A16" i="2"/>
  <c r="P16" i="2" s="1"/>
  <c r="G15" i="2"/>
  <c r="V15" i="2" s="1"/>
  <c r="F15" i="2"/>
  <c r="U15" i="2" s="1"/>
  <c r="E15" i="2"/>
  <c r="T15" i="2" s="1"/>
  <c r="A15" i="2"/>
  <c r="P15" i="2" s="1"/>
  <c r="G14" i="2"/>
  <c r="V14" i="2" s="1"/>
  <c r="F14" i="2"/>
  <c r="U14" i="2" s="1"/>
  <c r="E14" i="2"/>
  <c r="T14" i="2" s="1"/>
  <c r="A14" i="2"/>
  <c r="P14" i="2" s="1"/>
  <c r="G13" i="2"/>
  <c r="V13" i="2" s="1"/>
  <c r="F13" i="2"/>
  <c r="U13" i="2" s="1"/>
  <c r="E13" i="2"/>
  <c r="T13" i="2" s="1"/>
  <c r="A13" i="2"/>
  <c r="P13" i="2" s="1"/>
  <c r="G12" i="2"/>
  <c r="V12" i="2" s="1"/>
  <c r="F12" i="2"/>
  <c r="U12" i="2" s="1"/>
  <c r="E12" i="2"/>
  <c r="T12" i="2" s="1"/>
  <c r="A12" i="2"/>
  <c r="P12" i="2" s="1"/>
  <c r="G11" i="2"/>
  <c r="V11" i="2" s="1"/>
  <c r="F11" i="2"/>
  <c r="U11" i="2" s="1"/>
  <c r="E11" i="2"/>
  <c r="T11" i="2" s="1"/>
  <c r="A11" i="2"/>
  <c r="P11" i="2" s="1"/>
  <c r="G10" i="2"/>
  <c r="V10" i="2" s="1"/>
  <c r="F10" i="2"/>
  <c r="U10" i="2" s="1"/>
  <c r="E10" i="2"/>
  <c r="T10" i="2" s="1"/>
  <c r="A10" i="2"/>
  <c r="P10" i="2" s="1"/>
  <c r="G9" i="2"/>
  <c r="V9" i="2" s="1"/>
  <c r="F9" i="2"/>
  <c r="U9" i="2" s="1"/>
  <c r="E9" i="2"/>
  <c r="T9" i="2" s="1"/>
  <c r="A9" i="2"/>
  <c r="P9" i="2" s="1"/>
  <c r="G8" i="2"/>
  <c r="V8" i="2" s="1"/>
  <c r="F8" i="2"/>
  <c r="U8" i="2" s="1"/>
  <c r="E8" i="2"/>
  <c r="T8" i="2" s="1"/>
  <c r="A8" i="2"/>
  <c r="P8" i="2" s="1"/>
  <c r="G7" i="2"/>
  <c r="V7" i="2" s="1"/>
  <c r="F7" i="2"/>
  <c r="U7" i="2" s="1"/>
  <c r="E7" i="2"/>
  <c r="T7" i="2" s="1"/>
  <c r="A7" i="2"/>
  <c r="B79" i="2"/>
  <c r="B25" i="2"/>
  <c r="Q25" i="2" s="1"/>
  <c r="P7" i="2" l="1"/>
  <c r="B7" i="2"/>
  <c r="Q7" i="2" s="1"/>
  <c r="B35" i="2"/>
  <c r="C133" i="2"/>
  <c r="B145" i="2"/>
  <c r="B137" i="2"/>
  <c r="B134" i="2"/>
  <c r="B130" i="2"/>
  <c r="B126" i="2"/>
  <c r="B122" i="2"/>
  <c r="B118" i="2"/>
  <c r="B114" i="2"/>
  <c r="B110" i="2"/>
  <c r="B106" i="2"/>
  <c r="B102" i="2"/>
  <c r="B98" i="2"/>
  <c r="B94" i="2"/>
  <c r="B90" i="2"/>
  <c r="B86" i="2"/>
  <c r="B82" i="2"/>
  <c r="B78" i="2"/>
  <c r="B74" i="2"/>
  <c r="B70" i="2"/>
  <c r="Q70" i="2" s="1"/>
  <c r="B66" i="2"/>
  <c r="B146" i="2"/>
  <c r="B138" i="2"/>
  <c r="B147" i="2"/>
  <c r="B139" i="2"/>
  <c r="B133" i="2"/>
  <c r="B129" i="2"/>
  <c r="B125" i="2"/>
  <c r="B121" i="2"/>
  <c r="B117" i="2"/>
  <c r="B113" i="2"/>
  <c r="B109" i="2"/>
  <c r="B105" i="2"/>
  <c r="B101" i="2"/>
  <c r="B97" i="2"/>
  <c r="B93" i="2"/>
  <c r="B89" i="2"/>
  <c r="B85" i="2"/>
  <c r="B81" i="2"/>
  <c r="B77" i="2"/>
  <c r="B73" i="2"/>
  <c r="B71" i="2"/>
  <c r="Q71" i="2" s="1"/>
  <c r="B67" i="2"/>
  <c r="Q67" i="2" s="1"/>
  <c r="B63" i="2"/>
  <c r="Q63" i="2" s="1"/>
  <c r="B148" i="2"/>
  <c r="B140" i="2"/>
  <c r="B149" i="2"/>
  <c r="B141" i="2"/>
  <c r="B132" i="2"/>
  <c r="B128" i="2"/>
  <c r="B124" i="2"/>
  <c r="B120" i="2"/>
  <c r="B116" i="2"/>
  <c r="B112" i="2"/>
  <c r="B108" i="2"/>
  <c r="B104" i="2"/>
  <c r="B100" i="2"/>
  <c r="B96" i="2"/>
  <c r="B92" i="2"/>
  <c r="B88" i="2"/>
  <c r="B84" i="2"/>
  <c r="B80" i="2"/>
  <c r="B76" i="2"/>
  <c r="B72" i="2"/>
  <c r="B68" i="2"/>
  <c r="B64" i="2"/>
  <c r="Q64" i="2" s="1"/>
  <c r="B150" i="2"/>
  <c r="B142" i="2"/>
  <c r="B131" i="2"/>
  <c r="B115" i="2"/>
  <c r="B99" i="2"/>
  <c r="B83" i="2"/>
  <c r="B60" i="2"/>
  <c r="Q60" i="2" s="1"/>
  <c r="B51" i="2"/>
  <c r="Q51" i="2" s="1"/>
  <c r="B43" i="2"/>
  <c r="Q43" i="2" s="1"/>
  <c r="B50" i="2"/>
  <c r="B42" i="2"/>
  <c r="B135" i="2"/>
  <c r="B119" i="2"/>
  <c r="B103" i="2"/>
  <c r="B87" i="2"/>
  <c r="B61" i="2"/>
  <c r="B57" i="2"/>
  <c r="B49" i="2"/>
  <c r="Q49" i="2" s="1"/>
  <c r="B41" i="2"/>
  <c r="Q41" i="2" s="1"/>
  <c r="B36" i="2"/>
  <c r="Q36" i="2" s="1"/>
  <c r="B34" i="2"/>
  <c r="B32" i="2"/>
  <c r="Q32" i="2" s="1"/>
  <c r="B69" i="2"/>
  <c r="B56" i="2"/>
  <c r="B48" i="2"/>
  <c r="B40" i="2"/>
  <c r="B143" i="2"/>
  <c r="B123" i="2"/>
  <c r="B107" i="2"/>
  <c r="B91" i="2"/>
  <c r="B75" i="2"/>
  <c r="B62" i="2"/>
  <c r="Q62" i="2" s="1"/>
  <c r="B58" i="2"/>
  <c r="B55" i="2"/>
  <c r="Q55" i="2" s="1"/>
  <c r="B47" i="2"/>
  <c r="B39" i="2"/>
  <c r="Q39" i="2" s="1"/>
  <c r="B144" i="2"/>
  <c r="B52" i="2"/>
  <c r="B44" i="2"/>
  <c r="B46" i="2"/>
  <c r="B45" i="2"/>
  <c r="B95" i="2"/>
  <c r="B59" i="2"/>
  <c r="B33" i="2"/>
  <c r="Q33" i="2" s="1"/>
  <c r="B111" i="2"/>
  <c r="B30" i="2"/>
  <c r="B28" i="2"/>
  <c r="Q28" i="2" s="1"/>
  <c r="B26" i="2"/>
  <c r="Q26" i="2" s="1"/>
  <c r="B24" i="2"/>
  <c r="Q24" i="2" s="1"/>
  <c r="B22" i="2"/>
  <c r="Q22" i="2" s="1"/>
  <c r="B20" i="2"/>
  <c r="Q20" i="2" s="1"/>
  <c r="B18" i="2"/>
  <c r="Q18" i="2" s="1"/>
  <c r="B16" i="2"/>
  <c r="Q16" i="2" s="1"/>
  <c r="B14" i="2"/>
  <c r="Q14" i="2" s="1"/>
  <c r="B12" i="2"/>
  <c r="Q12" i="2" s="1"/>
  <c r="B10" i="2"/>
  <c r="Q10" i="2" s="1"/>
  <c r="B8" i="2"/>
  <c r="Q8" i="2" s="1"/>
  <c r="B38" i="2"/>
  <c r="B37" i="2"/>
  <c r="B136" i="2"/>
  <c r="B127" i="2"/>
  <c r="B65" i="2"/>
  <c r="Q65" i="2" s="1"/>
  <c r="B54" i="2"/>
  <c r="Q54" i="2" s="1"/>
  <c r="B53" i="2"/>
  <c r="B13" i="2"/>
  <c r="Q13" i="2" s="1"/>
  <c r="B9" i="2"/>
  <c r="Q9" i="2" s="1"/>
  <c r="B17" i="2"/>
  <c r="Q17" i="2" s="1"/>
  <c r="B19" i="2"/>
  <c r="Q19" i="2" s="1"/>
  <c r="B27" i="2"/>
  <c r="B29" i="2"/>
  <c r="C146" i="2"/>
  <c r="C147" i="2"/>
  <c r="C139" i="2"/>
  <c r="C117" i="2"/>
  <c r="C109" i="2"/>
  <c r="C105" i="2"/>
  <c r="C85" i="2"/>
  <c r="C77" i="2"/>
  <c r="C73" i="2"/>
  <c r="C132" i="2"/>
  <c r="C124" i="2"/>
  <c r="C120" i="2"/>
  <c r="C100" i="2"/>
  <c r="C92" i="2"/>
  <c r="C88" i="2"/>
  <c r="C68" i="2"/>
  <c r="R68" i="2" s="1"/>
  <c r="C142" i="2"/>
  <c r="C143" i="2"/>
  <c r="C119" i="2"/>
  <c r="C111" i="2"/>
  <c r="C107" i="2"/>
  <c r="C87" i="2"/>
  <c r="C79" i="2"/>
  <c r="C75" i="2"/>
  <c r="C86" i="2"/>
  <c r="C50" i="2"/>
  <c r="R50" i="2" s="1"/>
  <c r="C42" i="2"/>
  <c r="R42" i="2" s="1"/>
  <c r="C49" i="2"/>
  <c r="R49" i="2" s="1"/>
  <c r="C36" i="2"/>
  <c r="R36" i="2" s="1"/>
  <c r="C122" i="2"/>
  <c r="C48" i="2"/>
  <c r="R48" i="2" s="1"/>
  <c r="C71" i="2"/>
  <c r="R71" i="2" s="1"/>
  <c r="C66" i="2"/>
  <c r="R66" i="2" s="1"/>
  <c r="C39" i="2"/>
  <c r="R39" i="2" s="1"/>
  <c r="C126" i="2"/>
  <c r="C110" i="2"/>
  <c r="C54" i="2"/>
  <c r="R54" i="2" s="1"/>
  <c r="C38" i="2"/>
  <c r="R38" i="2" s="1"/>
  <c r="C137" i="2"/>
  <c r="C59" i="2"/>
  <c r="R59" i="2" s="1"/>
  <c r="C44" i="2"/>
  <c r="R44" i="2" s="1"/>
  <c r="C82" i="2"/>
  <c r="C24" i="2"/>
  <c r="R24" i="2" s="1"/>
  <c r="C20" i="2"/>
  <c r="R20" i="2" s="1"/>
  <c r="C18" i="2"/>
  <c r="R18" i="2" s="1"/>
  <c r="C37" i="2"/>
  <c r="R37" i="2" s="1"/>
  <c r="C98" i="2"/>
  <c r="C53" i="2"/>
  <c r="R53" i="2" s="1"/>
  <c r="B15" i="2"/>
  <c r="Q15" i="2" s="1"/>
  <c r="B21" i="2"/>
  <c r="Q21" i="2" s="1"/>
  <c r="B23" i="2"/>
  <c r="Q23" i="2" s="1"/>
  <c r="B31" i="2"/>
  <c r="C45" i="2"/>
  <c r="R45" i="2" s="1"/>
  <c r="B11" i="2"/>
  <c r="Q11" i="2" s="1"/>
  <c r="C17" i="2"/>
  <c r="R17" i="2" s="1"/>
  <c r="C21" i="2"/>
  <c r="R21" i="2" s="1"/>
  <c r="C23" i="2"/>
  <c r="R23" i="2" s="1"/>
  <c r="C32" i="2"/>
  <c r="R32" i="2" s="1"/>
  <c r="C10" i="2" l="1"/>
  <c r="R10" i="2" s="1"/>
  <c r="C19" i="2"/>
  <c r="R19" i="2" s="1"/>
  <c r="C34" i="2"/>
  <c r="R34" i="2" s="1"/>
  <c r="C22" i="2"/>
  <c r="R22" i="2" s="1"/>
  <c r="C33" i="2"/>
  <c r="R33" i="2" s="1"/>
  <c r="C46" i="2"/>
  <c r="R46" i="2" s="1"/>
  <c r="C136" i="2"/>
  <c r="C40" i="2"/>
  <c r="R40" i="2" s="1"/>
  <c r="C41" i="2"/>
  <c r="R41" i="2" s="1"/>
  <c r="C63" i="2"/>
  <c r="R63" i="2" s="1"/>
  <c r="C83" i="2"/>
  <c r="C115" i="2"/>
  <c r="C150" i="2"/>
  <c r="C96" i="2"/>
  <c r="C128" i="2"/>
  <c r="C81" i="2"/>
  <c r="C113" i="2"/>
  <c r="C138" i="2"/>
  <c r="C31" i="2"/>
  <c r="R31" i="2" s="1"/>
  <c r="C15" i="2"/>
  <c r="R15" i="2" s="1"/>
  <c r="C144" i="2"/>
  <c r="C26" i="2"/>
  <c r="R26" i="2" s="1"/>
  <c r="C130" i="2"/>
  <c r="C65" i="2"/>
  <c r="R65" i="2" s="1"/>
  <c r="C47" i="2"/>
  <c r="R47" i="2" s="1"/>
  <c r="C56" i="2"/>
  <c r="R56" i="2" s="1"/>
  <c r="C57" i="2"/>
  <c r="R57" i="2" s="1"/>
  <c r="C102" i="2"/>
  <c r="C91" i="2"/>
  <c r="C123" i="2"/>
  <c r="C72" i="2"/>
  <c r="C104" i="2"/>
  <c r="C141" i="2"/>
  <c r="C89" i="2"/>
  <c r="C121" i="2"/>
  <c r="C114" i="2"/>
  <c r="C29" i="2"/>
  <c r="R29" i="2" s="1"/>
  <c r="C12" i="2"/>
  <c r="R12" i="2" s="1"/>
  <c r="C28" i="2"/>
  <c r="R28" i="2" s="1"/>
  <c r="C43" i="2"/>
  <c r="R43" i="2" s="1"/>
  <c r="C70" i="2"/>
  <c r="R70" i="2" s="1"/>
  <c r="C55" i="2"/>
  <c r="R55" i="2" s="1"/>
  <c r="C74" i="2"/>
  <c r="C61" i="2"/>
  <c r="R61" i="2" s="1"/>
  <c r="C118" i="2"/>
  <c r="C95" i="2"/>
  <c r="C127" i="2"/>
  <c r="C76" i="2"/>
  <c r="C108" i="2"/>
  <c r="C149" i="2"/>
  <c r="C93" i="2"/>
  <c r="C125" i="2"/>
  <c r="C27" i="2"/>
  <c r="R27" i="2" s="1"/>
  <c r="C9" i="2"/>
  <c r="R9" i="2" s="1"/>
  <c r="C13" i="2"/>
  <c r="R13" i="2" s="1"/>
  <c r="C14" i="2"/>
  <c r="R14" i="2" s="1"/>
  <c r="C30" i="2"/>
  <c r="R30" i="2" s="1"/>
  <c r="C51" i="2"/>
  <c r="R51" i="2" s="1"/>
  <c r="C78" i="2"/>
  <c r="C58" i="2"/>
  <c r="R58" i="2" s="1"/>
  <c r="C90" i="2"/>
  <c r="C67" i="2"/>
  <c r="R67" i="2" s="1"/>
  <c r="C134" i="2"/>
  <c r="C99" i="2"/>
  <c r="C131" i="2"/>
  <c r="C80" i="2"/>
  <c r="C112" i="2"/>
  <c r="C140" i="2"/>
  <c r="C97" i="2"/>
  <c r="C129" i="2"/>
  <c r="C25" i="2"/>
  <c r="R25" i="2" s="1"/>
  <c r="C52" i="2"/>
  <c r="R52" i="2" s="1"/>
  <c r="C16" i="2"/>
  <c r="R16" i="2" s="1"/>
  <c r="C64" i="2"/>
  <c r="R64" i="2" s="1"/>
  <c r="C60" i="2"/>
  <c r="R60" i="2" s="1"/>
  <c r="C94" i="2"/>
  <c r="C62" i="2"/>
  <c r="R62" i="2" s="1"/>
  <c r="C106" i="2"/>
  <c r="C145" i="2"/>
  <c r="C69" i="2"/>
  <c r="R69" i="2" s="1"/>
  <c r="C103" i="2"/>
  <c r="C135" i="2"/>
  <c r="C84" i="2"/>
  <c r="C116" i="2"/>
  <c r="C148" i="2"/>
  <c r="C101" i="2"/>
  <c r="Q50" i="2"/>
  <c r="Q48" i="2"/>
  <c r="Q56" i="2"/>
  <c r="Q44" i="2"/>
  <c r="Q69" i="2"/>
  <c r="Q68" i="2"/>
  <c r="C7" i="2"/>
  <c r="D121" i="2"/>
  <c r="C8" i="2"/>
  <c r="R8" i="2" s="1"/>
  <c r="C11" i="2"/>
  <c r="Q30" i="2"/>
  <c r="Q52" i="2"/>
  <c r="C35" i="2"/>
  <c r="Q38" i="2"/>
  <c r="Q40" i="2"/>
  <c r="Q53" i="2"/>
  <c r="Q61" i="2"/>
  <c r="Q34" i="2"/>
  <c r="Q46" i="2"/>
  <c r="D129" i="2"/>
  <c r="Q29" i="2"/>
  <c r="Q35" i="2"/>
  <c r="Q45" i="2"/>
  <c r="Q58" i="2"/>
  <c r="Q57" i="2"/>
  <c r="Q31" i="2"/>
  <c r="Q27" i="2"/>
  <c r="Q37" i="2"/>
  <c r="Q59" i="2"/>
  <c r="Q47" i="2"/>
  <c r="Q42" i="2"/>
  <c r="Q66" i="2"/>
  <c r="J129" i="2" l="1"/>
  <c r="D29" i="2"/>
  <c r="K29" i="2" s="1"/>
  <c r="N29" i="2" s="1"/>
  <c r="D35" i="2"/>
  <c r="S35" i="2" s="1"/>
  <c r="D57" i="2"/>
  <c r="S57" i="2" s="1"/>
  <c r="D88" i="2"/>
  <c r="K88" i="2" s="1"/>
  <c r="D8" i="2"/>
  <c r="S8" i="2" s="1"/>
  <c r="D54" i="2"/>
  <c r="S54" i="2" s="1"/>
  <c r="D75" i="2"/>
  <c r="K75" i="2" s="1"/>
  <c r="D116" i="2"/>
  <c r="J116" i="2" s="1"/>
  <c r="D10" i="2"/>
  <c r="S10" i="2" s="1"/>
  <c r="D70" i="2"/>
  <c r="S70" i="2" s="1"/>
  <c r="D79" i="2"/>
  <c r="J79" i="2" s="1"/>
  <c r="D120" i="2"/>
  <c r="J120" i="2" s="1"/>
  <c r="D24" i="2"/>
  <c r="I24" i="2" s="1"/>
  <c r="L24" i="2" s="1"/>
  <c r="D47" i="2"/>
  <c r="J47" i="2" s="1"/>
  <c r="M47" i="2" s="1"/>
  <c r="D107" i="2"/>
  <c r="J107" i="2" s="1"/>
  <c r="D148" i="2"/>
  <c r="D26" i="2"/>
  <c r="S26" i="2" s="1"/>
  <c r="D55" i="2"/>
  <c r="K55" i="2" s="1"/>
  <c r="N55" i="2" s="1"/>
  <c r="D111" i="2"/>
  <c r="I111" i="2" s="1"/>
  <c r="D67" i="2"/>
  <c r="K67" i="2" s="1"/>
  <c r="D11" i="2"/>
  <c r="S11" i="2" s="1"/>
  <c r="D137" i="2"/>
  <c r="D74" i="2"/>
  <c r="I74" i="2" s="1"/>
  <c r="D143" i="2"/>
  <c r="D93" i="2"/>
  <c r="K93" i="2" s="1"/>
  <c r="D13" i="2"/>
  <c r="S13" i="2" s="1"/>
  <c r="D42" i="2"/>
  <c r="I42" i="2" s="1"/>
  <c r="L42" i="2" s="1"/>
  <c r="D90" i="2"/>
  <c r="I90" i="2" s="1"/>
  <c r="D142" i="2"/>
  <c r="D97" i="2"/>
  <c r="J97" i="2" s="1"/>
  <c r="D27" i="2"/>
  <c r="K27" i="2" s="1"/>
  <c r="N27" i="2" s="1"/>
  <c r="D33" i="2"/>
  <c r="K33" i="2" s="1"/>
  <c r="N33" i="2" s="1"/>
  <c r="D49" i="2"/>
  <c r="I49" i="2" s="1"/>
  <c r="L49" i="2" s="1"/>
  <c r="D84" i="2"/>
  <c r="I84" i="2" s="1"/>
  <c r="D125" i="2"/>
  <c r="K125" i="2" s="1"/>
  <c r="I121" i="2"/>
  <c r="K121" i="2"/>
  <c r="J121" i="2"/>
  <c r="I129" i="2"/>
  <c r="D12" i="2"/>
  <c r="D115" i="2"/>
  <c r="R7" i="2"/>
  <c r="D15" i="2"/>
  <c r="D37" i="2"/>
  <c r="D106" i="2"/>
  <c r="D150" i="2"/>
  <c r="D101" i="2"/>
  <c r="K129" i="2"/>
  <c r="D17" i="2"/>
  <c r="D32" i="2"/>
  <c r="D14" i="2"/>
  <c r="D30" i="2"/>
  <c r="D63" i="2"/>
  <c r="D45" i="2"/>
  <c r="D94" i="2"/>
  <c r="D62" i="2"/>
  <c r="D122" i="2"/>
  <c r="D145" i="2"/>
  <c r="D87" i="2"/>
  <c r="D119" i="2"/>
  <c r="D64" i="2"/>
  <c r="D96" i="2"/>
  <c r="D128" i="2"/>
  <c r="D73" i="2"/>
  <c r="D105" i="2"/>
  <c r="D139" i="2"/>
  <c r="R35" i="2"/>
  <c r="D31" i="2"/>
  <c r="D124" i="2"/>
  <c r="D19" i="2"/>
  <c r="D114" i="2"/>
  <c r="D16" i="2"/>
  <c r="D60" i="2"/>
  <c r="D86" i="2"/>
  <c r="D53" i="2"/>
  <c r="D110" i="2"/>
  <c r="D66" i="2"/>
  <c r="D138" i="2"/>
  <c r="D136" i="2"/>
  <c r="D91" i="2"/>
  <c r="D123" i="2"/>
  <c r="D68" i="2"/>
  <c r="D100" i="2"/>
  <c r="D132" i="2"/>
  <c r="D77" i="2"/>
  <c r="D109" i="2"/>
  <c r="D147" i="2"/>
  <c r="D58" i="2"/>
  <c r="D92" i="2"/>
  <c r="D133" i="2"/>
  <c r="D7" i="2"/>
  <c r="S7" i="2" s="1"/>
  <c r="D21" i="2"/>
  <c r="D51" i="2"/>
  <c r="D18" i="2"/>
  <c r="D82" i="2"/>
  <c r="D102" i="2"/>
  <c r="D59" i="2"/>
  <c r="D126" i="2"/>
  <c r="D40" i="2"/>
  <c r="D34" i="2"/>
  <c r="D144" i="2"/>
  <c r="D95" i="2"/>
  <c r="D127" i="2"/>
  <c r="D72" i="2"/>
  <c r="D104" i="2"/>
  <c r="D141" i="2"/>
  <c r="D81" i="2"/>
  <c r="D113" i="2"/>
  <c r="D28" i="2"/>
  <c r="D61" i="2"/>
  <c r="D130" i="2"/>
  <c r="D23" i="2"/>
  <c r="D52" i="2"/>
  <c r="D20" i="2"/>
  <c r="D43" i="2"/>
  <c r="D118" i="2"/>
  <c r="D38" i="2"/>
  <c r="D146" i="2"/>
  <c r="D48" i="2"/>
  <c r="D36" i="2"/>
  <c r="D65" i="2"/>
  <c r="D99" i="2"/>
  <c r="D131" i="2"/>
  <c r="D76" i="2"/>
  <c r="D108" i="2"/>
  <c r="D149" i="2"/>
  <c r="D85" i="2"/>
  <c r="D117" i="2"/>
  <c r="R11" i="2"/>
  <c r="D50" i="2"/>
  <c r="D78" i="2"/>
  <c r="D83" i="2"/>
  <c r="D71" i="2"/>
  <c r="D9" i="2"/>
  <c r="D25" i="2"/>
  <c r="D98" i="2"/>
  <c r="D22" i="2"/>
  <c r="D44" i="2"/>
  <c r="D134" i="2"/>
  <c r="D46" i="2"/>
  <c r="D39" i="2"/>
  <c r="D56" i="2"/>
  <c r="D41" i="2"/>
  <c r="D69" i="2"/>
  <c r="D103" i="2"/>
  <c r="D135" i="2"/>
  <c r="D80" i="2"/>
  <c r="D112" i="2"/>
  <c r="D140" i="2"/>
  <c r="D89" i="2"/>
  <c r="I7" i="2" l="1"/>
  <c r="L7" i="2" s="1"/>
  <c r="I29" i="2"/>
  <c r="L29" i="2" s="1"/>
  <c r="J57" i="2"/>
  <c r="I35" i="2"/>
  <c r="L35" i="2" s="1"/>
  <c r="S55" i="2"/>
  <c r="I57" i="2"/>
  <c r="J13" i="2"/>
  <c r="M13" i="2" s="1"/>
  <c r="J35" i="2"/>
  <c r="M35" i="2" s="1"/>
  <c r="I13" i="2"/>
  <c r="L13" i="2" s="1"/>
  <c r="J55" i="2"/>
  <c r="M55" i="2" s="1"/>
  <c r="K70" i="2"/>
  <c r="J10" i="2"/>
  <c r="M10" i="2" s="1"/>
  <c r="J70" i="2"/>
  <c r="K35" i="2"/>
  <c r="N35" i="2" s="1"/>
  <c r="K84" i="2"/>
  <c r="I55" i="2"/>
  <c r="L55" i="2" s="1"/>
  <c r="I70" i="2"/>
  <c r="J84" i="2"/>
  <c r="K13" i="2"/>
  <c r="N13" i="2" s="1"/>
  <c r="K24" i="2"/>
  <c r="N24" i="2" s="1"/>
  <c r="J29" i="2"/>
  <c r="M29" i="2" s="1"/>
  <c r="J93" i="2"/>
  <c r="I10" i="2"/>
  <c r="L10" i="2" s="1"/>
  <c r="K57" i="2"/>
  <c r="K90" i="2"/>
  <c r="S67" i="2"/>
  <c r="J33" i="2"/>
  <c r="M33" i="2" s="1"/>
  <c r="I120" i="2"/>
  <c r="J90" i="2"/>
  <c r="K120" i="2"/>
  <c r="J11" i="2"/>
  <c r="M11" i="2" s="1"/>
  <c r="I8" i="2"/>
  <c r="L8" i="2" s="1"/>
  <c r="I67" i="2"/>
  <c r="J88" i="2"/>
  <c r="I26" i="2"/>
  <c r="L26" i="2" s="1"/>
  <c r="K116" i="2"/>
  <c r="J67" i="2"/>
  <c r="J42" i="2"/>
  <c r="M42" i="2" s="1"/>
  <c r="S49" i="2"/>
  <c r="I116" i="2"/>
  <c r="I33" i="2"/>
  <c r="L33" i="2" s="1"/>
  <c r="S33" i="2"/>
  <c r="K74" i="2"/>
  <c r="J8" i="2"/>
  <c r="M8" i="2" s="1"/>
  <c r="I93" i="2"/>
  <c r="K49" i="2"/>
  <c r="N49" i="2" s="1"/>
  <c r="K10" i="2"/>
  <c r="N10" i="2" s="1"/>
  <c r="I27" i="2"/>
  <c r="L27" i="2" s="1"/>
  <c r="J27" i="2"/>
  <c r="M27" i="2" s="1"/>
  <c r="K11" i="2"/>
  <c r="N11" i="2" s="1"/>
  <c r="S27" i="2"/>
  <c r="K8" i="2"/>
  <c r="N8" i="2" s="1"/>
  <c r="S29" i="2"/>
  <c r="J74" i="2"/>
  <c r="K26" i="2"/>
  <c r="N26" i="2" s="1"/>
  <c r="J24" i="2"/>
  <c r="M24" i="2" s="1"/>
  <c r="I107" i="2"/>
  <c r="J26" i="2"/>
  <c r="M26" i="2" s="1"/>
  <c r="K107" i="2"/>
  <c r="I75" i="2"/>
  <c r="J75" i="2"/>
  <c r="I11" i="2"/>
  <c r="L11" i="2" s="1"/>
  <c r="S24" i="2"/>
  <c r="J49" i="2"/>
  <c r="M49" i="2" s="1"/>
  <c r="I54" i="2"/>
  <c r="L54" i="2" s="1"/>
  <c r="I88" i="2"/>
  <c r="K54" i="2"/>
  <c r="N54" i="2" s="1"/>
  <c r="J54" i="2"/>
  <c r="M54" i="2" s="1"/>
  <c r="K97" i="2"/>
  <c r="I97" i="2"/>
  <c r="K47" i="2"/>
  <c r="N47" i="2" s="1"/>
  <c r="I47" i="2"/>
  <c r="L47" i="2" s="1"/>
  <c r="S47" i="2"/>
  <c r="S42" i="2"/>
  <c r="K111" i="2"/>
  <c r="I125" i="2"/>
  <c r="J125" i="2"/>
  <c r="K42" i="2"/>
  <c r="N42" i="2" s="1"/>
  <c r="J111" i="2"/>
  <c r="K79" i="2"/>
  <c r="I79" i="2"/>
  <c r="S31" i="2"/>
  <c r="J31" i="2"/>
  <c r="M31" i="2" s="1"/>
  <c r="K31" i="2"/>
  <c r="N31" i="2" s="1"/>
  <c r="I31" i="2"/>
  <c r="L31" i="2" s="1"/>
  <c r="S15" i="2"/>
  <c r="J15" i="2"/>
  <c r="M15" i="2" s="1"/>
  <c r="K15" i="2"/>
  <c r="N15" i="2" s="1"/>
  <c r="I15" i="2"/>
  <c r="L15" i="2" s="1"/>
  <c r="S69" i="2"/>
  <c r="I69" i="2"/>
  <c r="K69" i="2"/>
  <c r="J69" i="2"/>
  <c r="J98" i="2"/>
  <c r="I98" i="2"/>
  <c r="K98" i="2"/>
  <c r="S50" i="2"/>
  <c r="I50" i="2"/>
  <c r="L50" i="2" s="1"/>
  <c r="J50" i="2"/>
  <c r="M50" i="2" s="1"/>
  <c r="K50" i="2"/>
  <c r="N50" i="2" s="1"/>
  <c r="I99" i="2"/>
  <c r="K99" i="2"/>
  <c r="J99" i="2"/>
  <c r="S20" i="2"/>
  <c r="I20" i="2"/>
  <c r="L20" i="2" s="1"/>
  <c r="J20" i="2"/>
  <c r="M20" i="2" s="1"/>
  <c r="K20" i="2"/>
  <c r="N20" i="2" s="1"/>
  <c r="S61" i="2"/>
  <c r="J61" i="2"/>
  <c r="I61" i="2"/>
  <c r="K61" i="2"/>
  <c r="K72" i="2"/>
  <c r="J72" i="2"/>
  <c r="I72" i="2"/>
  <c r="K102" i="2"/>
  <c r="J102" i="2"/>
  <c r="I102" i="2"/>
  <c r="I109" i="2"/>
  <c r="J109" i="2"/>
  <c r="K109" i="2"/>
  <c r="S19" i="2"/>
  <c r="K19" i="2"/>
  <c r="N19" i="2" s="1"/>
  <c r="I19" i="2"/>
  <c r="L19" i="2" s="1"/>
  <c r="J19" i="2"/>
  <c r="M19" i="2" s="1"/>
  <c r="K96" i="2"/>
  <c r="I96" i="2"/>
  <c r="J96" i="2"/>
  <c r="S45" i="2"/>
  <c r="K45" i="2"/>
  <c r="N45" i="2" s="1"/>
  <c r="I45" i="2"/>
  <c r="L45" i="2" s="1"/>
  <c r="J45" i="2"/>
  <c r="M45" i="2" s="1"/>
  <c r="S43" i="2"/>
  <c r="J43" i="2"/>
  <c r="M43" i="2" s="1"/>
  <c r="I43" i="2"/>
  <c r="L43" i="2" s="1"/>
  <c r="K43" i="2"/>
  <c r="N43" i="2" s="1"/>
  <c r="J94" i="2"/>
  <c r="I94" i="2"/>
  <c r="K94" i="2"/>
  <c r="S41" i="2"/>
  <c r="J41" i="2"/>
  <c r="M41" i="2" s="1"/>
  <c r="I41" i="2"/>
  <c r="L41" i="2" s="1"/>
  <c r="K41" i="2"/>
  <c r="N41" i="2" s="1"/>
  <c r="S25" i="2"/>
  <c r="I25" i="2"/>
  <c r="L25" i="2" s="1"/>
  <c r="J25" i="2"/>
  <c r="M25" i="2" s="1"/>
  <c r="K25" i="2"/>
  <c r="N25" i="2" s="1"/>
  <c r="S65" i="2"/>
  <c r="K65" i="2"/>
  <c r="I65" i="2"/>
  <c r="J65" i="2"/>
  <c r="S52" i="2"/>
  <c r="J52" i="2"/>
  <c r="M52" i="2" s="1"/>
  <c r="I52" i="2"/>
  <c r="L52" i="2" s="1"/>
  <c r="K52" i="2"/>
  <c r="N52" i="2" s="1"/>
  <c r="S28" i="2"/>
  <c r="J28" i="2"/>
  <c r="M28" i="2" s="1"/>
  <c r="K28" i="2"/>
  <c r="N28" i="2" s="1"/>
  <c r="I28" i="2"/>
  <c r="L28" i="2" s="1"/>
  <c r="J127" i="2"/>
  <c r="I127" i="2"/>
  <c r="K127" i="2"/>
  <c r="I82" i="2"/>
  <c r="K82" i="2"/>
  <c r="J82" i="2"/>
  <c r="I77" i="2"/>
  <c r="J77" i="2"/>
  <c r="K77" i="2"/>
  <c r="S66" i="2"/>
  <c r="I66" i="2"/>
  <c r="K66" i="2"/>
  <c r="J66" i="2"/>
  <c r="S64" i="2"/>
  <c r="I64" i="2"/>
  <c r="J64" i="2"/>
  <c r="K64" i="2"/>
  <c r="S63" i="2"/>
  <c r="K63" i="2"/>
  <c r="I63" i="2"/>
  <c r="J63" i="2"/>
  <c r="K7" i="2"/>
  <c r="N7" i="2" s="1"/>
  <c r="S22" i="2"/>
  <c r="K22" i="2"/>
  <c r="N22" i="2" s="1"/>
  <c r="I22" i="2"/>
  <c r="L22" i="2" s="1"/>
  <c r="J22" i="2"/>
  <c r="M22" i="2" s="1"/>
  <c r="I131" i="2"/>
  <c r="J131" i="2"/>
  <c r="K131" i="2"/>
  <c r="I89" i="2"/>
  <c r="J89" i="2"/>
  <c r="K89" i="2"/>
  <c r="S56" i="2"/>
  <c r="K56" i="2"/>
  <c r="N56" i="2" s="1"/>
  <c r="J56" i="2"/>
  <c r="M56" i="2" s="1"/>
  <c r="I56" i="2"/>
  <c r="L56" i="2" s="1"/>
  <c r="S9" i="2"/>
  <c r="I9" i="2"/>
  <c r="L9" i="2" s="1"/>
  <c r="K9" i="2"/>
  <c r="N9" i="2" s="1"/>
  <c r="J9" i="2"/>
  <c r="M9" i="2" s="1"/>
  <c r="K117" i="2"/>
  <c r="J117" i="2"/>
  <c r="I117" i="2"/>
  <c r="S36" i="2"/>
  <c r="K36" i="2"/>
  <c r="N36" i="2" s="1"/>
  <c r="J36" i="2"/>
  <c r="M36" i="2" s="1"/>
  <c r="I36" i="2"/>
  <c r="L36" i="2" s="1"/>
  <c r="S23" i="2"/>
  <c r="K23" i="2"/>
  <c r="N23" i="2" s="1"/>
  <c r="I23" i="2"/>
  <c r="L23" i="2" s="1"/>
  <c r="J23" i="2"/>
  <c r="M23" i="2" s="1"/>
  <c r="J95" i="2"/>
  <c r="I95" i="2"/>
  <c r="K95" i="2"/>
  <c r="S18" i="2"/>
  <c r="K18" i="2"/>
  <c r="N18" i="2" s="1"/>
  <c r="J18" i="2"/>
  <c r="M18" i="2" s="1"/>
  <c r="I18" i="2"/>
  <c r="L18" i="2" s="1"/>
  <c r="J133" i="2"/>
  <c r="K133" i="2"/>
  <c r="I133" i="2"/>
  <c r="J132" i="2"/>
  <c r="K132" i="2"/>
  <c r="I132" i="2"/>
  <c r="J110" i="2"/>
  <c r="I110" i="2"/>
  <c r="K110" i="2"/>
  <c r="I119" i="2"/>
  <c r="K119" i="2"/>
  <c r="J119" i="2"/>
  <c r="S30" i="2"/>
  <c r="K30" i="2"/>
  <c r="N30" i="2" s="1"/>
  <c r="J30" i="2"/>
  <c r="M30" i="2" s="1"/>
  <c r="I30" i="2"/>
  <c r="L30" i="2" s="1"/>
  <c r="S59" i="2"/>
  <c r="J59" i="2"/>
  <c r="K59" i="2"/>
  <c r="I59" i="2"/>
  <c r="I128" i="2"/>
  <c r="J128" i="2"/>
  <c r="K128" i="2"/>
  <c r="S39" i="2"/>
  <c r="K39" i="2"/>
  <c r="N39" i="2" s="1"/>
  <c r="J39" i="2"/>
  <c r="M39" i="2" s="1"/>
  <c r="I39" i="2"/>
  <c r="L39" i="2" s="1"/>
  <c r="J85" i="2"/>
  <c r="K85" i="2"/>
  <c r="I85" i="2"/>
  <c r="S48" i="2"/>
  <c r="I48" i="2"/>
  <c r="L48" i="2" s="1"/>
  <c r="J48" i="2"/>
  <c r="M48" i="2" s="1"/>
  <c r="K48" i="2"/>
  <c r="N48" i="2" s="1"/>
  <c r="I130" i="2"/>
  <c r="K130" i="2"/>
  <c r="J130" i="2"/>
  <c r="S51" i="2"/>
  <c r="J51" i="2"/>
  <c r="M51" i="2" s="1"/>
  <c r="I51" i="2"/>
  <c r="L51" i="2" s="1"/>
  <c r="K51" i="2"/>
  <c r="N51" i="2" s="1"/>
  <c r="J92" i="2"/>
  <c r="I92" i="2"/>
  <c r="K92" i="2"/>
  <c r="J100" i="2"/>
  <c r="I100" i="2"/>
  <c r="K100" i="2"/>
  <c r="S53" i="2"/>
  <c r="J53" i="2"/>
  <c r="M53" i="2" s="1"/>
  <c r="I53" i="2"/>
  <c r="L53" i="2" s="1"/>
  <c r="K53" i="2"/>
  <c r="N53" i="2" s="1"/>
  <c r="K87" i="2"/>
  <c r="I87" i="2"/>
  <c r="J87" i="2"/>
  <c r="S14" i="2"/>
  <c r="K14" i="2"/>
  <c r="N14" i="2" s="1"/>
  <c r="J14" i="2"/>
  <c r="M14" i="2" s="1"/>
  <c r="I14" i="2"/>
  <c r="L14" i="2" s="1"/>
  <c r="J101" i="2"/>
  <c r="I101" i="2"/>
  <c r="K101" i="2"/>
  <c r="J7" i="2"/>
  <c r="M7" i="2" s="1"/>
  <c r="I115" i="2"/>
  <c r="K115" i="2"/>
  <c r="J115" i="2"/>
  <c r="K112" i="2"/>
  <c r="J112" i="2"/>
  <c r="I112" i="2"/>
  <c r="S46" i="2"/>
  <c r="I46" i="2"/>
  <c r="L46" i="2" s="1"/>
  <c r="K46" i="2"/>
  <c r="N46" i="2" s="1"/>
  <c r="J46" i="2"/>
  <c r="M46" i="2" s="1"/>
  <c r="I113" i="2"/>
  <c r="J113" i="2"/>
  <c r="K113" i="2"/>
  <c r="S34" i="2"/>
  <c r="K34" i="2"/>
  <c r="N34" i="2" s="1"/>
  <c r="I34" i="2"/>
  <c r="L34" i="2" s="1"/>
  <c r="J34" i="2"/>
  <c r="M34" i="2" s="1"/>
  <c r="S21" i="2"/>
  <c r="K21" i="2"/>
  <c r="N21" i="2" s="1"/>
  <c r="I21" i="2"/>
  <c r="L21" i="2" s="1"/>
  <c r="J21" i="2"/>
  <c r="M21" i="2" s="1"/>
  <c r="S58" i="2"/>
  <c r="J58" i="2"/>
  <c r="I58" i="2"/>
  <c r="K58" i="2"/>
  <c r="S68" i="2"/>
  <c r="J68" i="2"/>
  <c r="I68" i="2"/>
  <c r="K68" i="2"/>
  <c r="I86" i="2"/>
  <c r="K86" i="2"/>
  <c r="J86" i="2"/>
  <c r="S32" i="2"/>
  <c r="J32" i="2"/>
  <c r="M32" i="2" s="1"/>
  <c r="K32" i="2"/>
  <c r="N32" i="2" s="1"/>
  <c r="I32" i="2"/>
  <c r="L32" i="2" s="1"/>
  <c r="S12" i="2"/>
  <c r="K12" i="2"/>
  <c r="N12" i="2" s="1"/>
  <c r="I12" i="2"/>
  <c r="L12" i="2" s="1"/>
  <c r="J12" i="2"/>
  <c r="M12" i="2" s="1"/>
  <c r="K78" i="2"/>
  <c r="J78" i="2"/>
  <c r="I78" i="2"/>
  <c r="K104" i="2"/>
  <c r="I104" i="2"/>
  <c r="J104" i="2"/>
  <c r="J114" i="2"/>
  <c r="I114" i="2"/>
  <c r="K114" i="2"/>
  <c r="K80" i="2"/>
  <c r="J80" i="2"/>
  <c r="I80" i="2"/>
  <c r="K134" i="2"/>
  <c r="I134" i="2"/>
  <c r="J134" i="2"/>
  <c r="S71" i="2"/>
  <c r="J71" i="2"/>
  <c r="I71" i="2"/>
  <c r="K71" i="2"/>
  <c r="J108" i="2"/>
  <c r="K108" i="2"/>
  <c r="I108" i="2"/>
  <c r="S38" i="2"/>
  <c r="I38" i="2"/>
  <c r="L38" i="2" s="1"/>
  <c r="K38" i="2"/>
  <c r="N38" i="2" s="1"/>
  <c r="J38" i="2"/>
  <c r="M38" i="2" s="1"/>
  <c r="J81" i="2"/>
  <c r="I81" i="2"/>
  <c r="K81" i="2"/>
  <c r="S40" i="2"/>
  <c r="K40" i="2"/>
  <c r="N40" i="2" s="1"/>
  <c r="I40" i="2"/>
  <c r="L40" i="2" s="1"/>
  <c r="J40" i="2"/>
  <c r="M40" i="2" s="1"/>
  <c r="J123" i="2"/>
  <c r="K123" i="2"/>
  <c r="I123" i="2"/>
  <c r="S60" i="2"/>
  <c r="K60" i="2"/>
  <c r="J60" i="2"/>
  <c r="I60" i="2"/>
  <c r="K105" i="2"/>
  <c r="I105" i="2"/>
  <c r="J105" i="2"/>
  <c r="J122" i="2"/>
  <c r="K122" i="2"/>
  <c r="I122" i="2"/>
  <c r="S17" i="2"/>
  <c r="K17" i="2"/>
  <c r="N17" i="2" s="1"/>
  <c r="J17" i="2"/>
  <c r="M17" i="2" s="1"/>
  <c r="I17" i="2"/>
  <c r="L17" i="2" s="1"/>
  <c r="I106" i="2"/>
  <c r="K106" i="2"/>
  <c r="J106" i="2"/>
  <c r="I103" i="2"/>
  <c r="K103" i="2"/>
  <c r="J103" i="2"/>
  <c r="S44" i="2"/>
  <c r="J44" i="2"/>
  <c r="M44" i="2" s="1"/>
  <c r="I44" i="2"/>
  <c r="L44" i="2" s="1"/>
  <c r="K44" i="2"/>
  <c r="N44" i="2" s="1"/>
  <c r="I83" i="2"/>
  <c r="K83" i="2"/>
  <c r="J83" i="2"/>
  <c r="J76" i="2"/>
  <c r="K76" i="2"/>
  <c r="I76" i="2"/>
  <c r="K118" i="2"/>
  <c r="J118" i="2"/>
  <c r="I118" i="2"/>
  <c r="J126" i="2"/>
  <c r="K126" i="2"/>
  <c r="I126" i="2"/>
  <c r="K91" i="2"/>
  <c r="I91" i="2"/>
  <c r="J91" i="2"/>
  <c r="S16" i="2"/>
  <c r="J16" i="2"/>
  <c r="M16" i="2" s="1"/>
  <c r="I16" i="2"/>
  <c r="L16" i="2" s="1"/>
  <c r="K16" i="2"/>
  <c r="N16" i="2" s="1"/>
  <c r="J124" i="2"/>
  <c r="K124" i="2"/>
  <c r="I124" i="2"/>
  <c r="K73" i="2"/>
  <c r="J73" i="2"/>
  <c r="I73" i="2"/>
  <c r="S62" i="2"/>
  <c r="K62" i="2"/>
  <c r="I62" i="2"/>
  <c r="J62" i="2"/>
  <c r="S37" i="2"/>
  <c r="I37" i="2"/>
  <c r="L37" i="2" s="1"/>
  <c r="K37" i="2"/>
  <c r="N37" i="2" s="1"/>
  <c r="J37" i="2"/>
  <c r="M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<sst xmlns="http://schemas.openxmlformats.org/spreadsheetml/2006/main" count="329" uniqueCount="313">
  <si>
    <t>МП</t>
  </si>
  <si>
    <t xml:space="preserve">Вид испытаний: измерения ионизирующих излучений на открытой территории </t>
  </si>
  <si>
    <t xml:space="preserve">1. </t>
  </si>
  <si>
    <t xml:space="preserve">2. </t>
  </si>
  <si>
    <t>3.</t>
  </si>
  <si>
    <t>4.</t>
  </si>
  <si>
    <t>5.</t>
  </si>
  <si>
    <t>6.</t>
  </si>
  <si>
    <t>7.</t>
  </si>
  <si>
    <t>8.</t>
  </si>
  <si>
    <t>9.</t>
  </si>
  <si>
    <t xml:space="preserve">11. </t>
  </si>
  <si>
    <t>Сведения о средствах измерения:</t>
  </si>
  <si>
    <t>Измеряемый показатель</t>
  </si>
  <si>
    <t>Наименование, тип средства Измерения</t>
  </si>
  <si>
    <t>Заводской номер</t>
  </si>
  <si>
    <t>Погрешность средства измерения</t>
  </si>
  <si>
    <t>Сведения о поверке (№ свидетельства, срок действия)</t>
  </si>
  <si>
    <t>Длительность интервала времени</t>
  </si>
  <si>
    <t>Секундомеры электронные, Интеграл С-01</t>
  </si>
  <si>
    <t>Основная абсолютная погрешность, при температуре 25 ± 5 (˚С):
±(9,6·10-6 ·Тx+0,01) с
Дополнительная абсолютная погрешность при отклонении температуры от нормальных условий 25 ± 5 (˚С) на 1 ˚С изменения температуры:
-(2,2·10-6·Тx) с</t>
  </si>
  <si>
    <t>Линейка измерительная металлическая ГОСТ 427-75</t>
  </si>
  <si>
    <t>И23359</t>
  </si>
  <si>
    <t>±0,10 мм</t>
  </si>
  <si>
    <t>Относительная влажность</t>
  </si>
  <si>
    <t>Температура окружающего воздуха</t>
  </si>
  <si>
    <t>Скорость
воздушного потока</t>
  </si>
  <si>
    <t>Атмосферное давление</t>
  </si>
  <si>
    <t>Комплект измерительный параметров микроклимата «Метеоскоп-М»</t>
  </si>
  <si>
    <t>±0,2 °C</t>
  </si>
  <si>
    <t>± 3%</t>
  </si>
  <si>
    <t>± 0,13 кПа
(±1 мм.рт.ст)</t>
  </si>
  <si>
    <t>Измерение расстояний</t>
  </si>
  <si>
    <t>Дальномер лазерный ADA Cosmo 70</t>
  </si>
  <si>
    <t>±1,5 мм</t>
  </si>
  <si>
    <t>Температура воздуха</t>
  </si>
  <si>
    <t>Относительная влажность воздуха</t>
  </si>
  <si>
    <t>Прибор комбинированный 
Testo 608-Н2</t>
  </si>
  <si>
    <t>2283666553</t>
  </si>
  <si>
    <t>±3%</t>
  </si>
  <si>
    <t>Сведения о нормативных документах (НД), регламентирующих значения показателей и НД на методы (методики) измерений:</t>
  </si>
  <si>
    <t xml:space="preserve">12. </t>
  </si>
  <si>
    <t xml:space="preserve">Мощность амбиентного эквивалента дозы фотонного излучения (МЭД) </t>
  </si>
  <si>
    <t>Дозиметр-радиометр ДРБП-03</t>
  </si>
  <si>
    <t>СанПиН 2.6.1.2800-10 "Гигиенические требования по ограничению облучения населения за счет природных источников ионизирующего излучения"</t>
  </si>
  <si>
    <t>Мощность дозы гамма-излучения</t>
  </si>
  <si>
    <t>14.</t>
  </si>
  <si>
    <t>Эскиз (ситуационный план), места проведения измерений с указанием точек или профилей измерения:</t>
  </si>
  <si>
    <t>15.</t>
  </si>
  <si>
    <t>Результаты измерений ионизирующих излучений:</t>
  </si>
  <si>
    <t>Результаты измерений МД гамма-излучения</t>
  </si>
  <si>
    <t>№  п/п</t>
  </si>
  <si>
    <t>Наименование места
проведения измерений</t>
  </si>
  <si>
    <t>Дата измерения</t>
  </si>
  <si>
    <t>Профиль 1</t>
  </si>
  <si>
    <t>Профиль 2</t>
  </si>
  <si>
    <t>Профиль 3</t>
  </si>
  <si>
    <t>Профиль 4</t>
  </si>
  <si>
    <t>eq</t>
  </si>
  <si>
    <t>мин</t>
  </si>
  <si>
    <t>макс</t>
  </si>
  <si>
    <t>ср</t>
  </si>
  <si>
    <t>Профиль 5</t>
  </si>
  <si>
    <t>Профиль 6</t>
  </si>
  <si>
    <t>Профиль 7</t>
  </si>
  <si>
    <t>Профиль 8</t>
  </si>
  <si>
    <t>Профиль 9</t>
  </si>
  <si>
    <t>Профиль 10</t>
  </si>
  <si>
    <t>Профиль 11</t>
  </si>
  <si>
    <t>Профиль 12</t>
  </si>
  <si>
    <t>Контрольная точка 1</t>
  </si>
  <si>
    <t>Контрольная точка 2</t>
  </si>
  <si>
    <t>Контрольная точка 3</t>
  </si>
  <si>
    <t>Контрольная точка 4</t>
  </si>
  <si>
    <t>Контрольная точка 5</t>
  </si>
  <si>
    <t>(должность, подпись, Ф.И.О.)</t>
  </si>
  <si>
    <t>660064, Красноярский край, г.о. Красноярск, 
г. Красноярск, ул. Парусная, д. 8, кв. 99</t>
  </si>
  <si>
    <r>
      <t xml:space="preserve">Испытательная лаборатория 
Общества с ограниченной ответственностью
«Центр исследовательских технологий»
</t>
    </r>
    <r>
      <rPr>
        <sz val="10"/>
        <color theme="1"/>
        <rFont val="Arial"/>
        <family val="2"/>
        <charset val="204"/>
      </rPr>
      <t>Уникальный номер записи в Реестре аккредитованных лиц RA.RU.21ОХ37 от 07.04.2023</t>
    </r>
  </si>
  <si>
    <t>660041, Красноярский край, г. Красноярск, 
пр. Свободный дом 75, пом. 9 кабинет 12
+7 (391) 244-03-10, cit-krsk@yandex.ru</t>
  </si>
  <si>
    <t>Сведения о дополнении, отклонении или исключении из методов: -</t>
  </si>
  <si>
    <t>Профили пешеходжной гамма-съемки (на высоте 0,1…0,3 м)</t>
  </si>
  <si>
    <t>Измерение мощности дозы гамма-излучения в контрольных точках (на высоте 1.0м)</t>
  </si>
  <si>
    <t xml:space="preserve">Граница земельного участка </t>
  </si>
  <si>
    <t>Профиль 13</t>
  </si>
  <si>
    <t>Профиль 14</t>
  </si>
  <si>
    <t>Профиль 15</t>
  </si>
  <si>
    <t>Пульта: 21115
БДГ-01: 21067</t>
  </si>
  <si>
    <t>5</t>
  </si>
  <si>
    <t>Мощность дозы гамма-излучения, мкЗв/ч</t>
  </si>
  <si>
    <t xml:space="preserve">10. </t>
  </si>
  <si>
    <t>13.</t>
  </si>
  <si>
    <t xml:space="preserve">15.1. </t>
  </si>
  <si>
    <t>Документы, наименование НД, регламентирующих значения характеристик, показателей (к сведению)</t>
  </si>
  <si>
    <t>Документы, устанавливающие правила
и методы исследований (испытаний) и измерений</t>
  </si>
  <si>
    <t>Испытательная лаборатория несет ответственность за всю информацию, представленную в протоколе испытаний, за исключением случаев, когда информация предоставляется заказчиком.
Протокол не должен быть воспроизведен не в полном объеме без разрешения испытательной лаборатории ООО «ЦИТ».
Результаты относятся только к объектам, прошедшим испытания и предоставленным заказчиком.
Распределение экземпляров протокола испытаний: два протокола – Заказчику, один протокол – испытательной лаборатории ООО «ЦИТ».</t>
  </si>
  <si>
    <t>Условные обозначения:</t>
  </si>
  <si>
    <t xml:space="preserve">15.2. </t>
  </si>
  <si>
    <t>Результаты измерения плотности потока радона (ППР) из грунта, допустимый уровень, дополнительные сведения:</t>
  </si>
  <si>
    <t xml:space="preserve">№ п/п </t>
  </si>
  <si>
    <t>Наименование места проведения измерений</t>
  </si>
  <si>
    <t>Точка 1</t>
  </si>
  <si>
    <t>Точка 2</t>
  </si>
  <si>
    <t>Точка 3</t>
  </si>
  <si>
    <t>Точка 4</t>
  </si>
  <si>
    <t>Точка 5</t>
  </si>
  <si>
    <t>Точка 6</t>
  </si>
  <si>
    <t>Точка 7</t>
  </si>
  <si>
    <t>Точка 8</t>
  </si>
  <si>
    <t>Точка 9</t>
  </si>
  <si>
    <t>Точка 10</t>
  </si>
  <si>
    <t>Среднее значение плотности потока радона с поверхности почвы</t>
  </si>
  <si>
    <t>-</t>
  </si>
  <si>
    <t>Показатели, по которым проводились измерения: плотность потока радона (ППР) с поверхности грунта, мощность дозы гамма-излучения</t>
  </si>
  <si>
    <t>Плотность потока радона-222 с поверхности земли</t>
  </si>
  <si>
    <t>Комплекс
Измерительный для мониторинга радона «КАМЕРА-01»</t>
  </si>
  <si>
    <t>± 30%</t>
  </si>
  <si>
    <t>Измерение напряжения и частоты переменного ток</t>
  </si>
  <si>
    <t>Мультиметр
Цифровой, АРPА-103N</t>
  </si>
  <si>
    <t>05151010</t>
  </si>
  <si>
    <t>Плотность потока радона (ППР) с поверхности</t>
  </si>
  <si>
    <t>Измерение плотности потока радона (ППР) с поверхности грунта</t>
  </si>
  <si>
    <t>Общество с ограниченной ответственностью «Центр исследовательских технологий» 
(ООО «ЦИТ»)</t>
  </si>
  <si>
    <t>С-А/22-01-2024/310286448 до 21.01.2026</t>
  </si>
  <si>
    <t>Конец протокола испытаний</t>
  </si>
  <si>
    <t>Профиль 16</t>
  </si>
  <si>
    <t>Профиль 17</t>
  </si>
  <si>
    <t>Профиль 18</t>
  </si>
  <si>
    <t>Профиль 19</t>
  </si>
  <si>
    <t>Профиль 20</t>
  </si>
  <si>
    <t>Профиль 21</t>
  </si>
  <si>
    <t>Профиль 22</t>
  </si>
  <si>
    <t>Контрольная точка 6</t>
  </si>
  <si>
    <t>Контрольная точка 7</t>
  </si>
  <si>
    <t>Контрольная точка 8</t>
  </si>
  <si>
    <t>Контрольная точка 9</t>
  </si>
  <si>
    <t>Контрольная точка 10</t>
  </si>
  <si>
    <t>Контрольная точка 11</t>
  </si>
  <si>
    <t>Точка 11</t>
  </si>
  <si>
    <t>Точка 12</t>
  </si>
  <si>
    <t>Точка 13</t>
  </si>
  <si>
    <t>Точка 14</t>
  </si>
  <si>
    <t>Точка 15</t>
  </si>
  <si>
    <t>Точка 16</t>
  </si>
  <si>
    <t xml:space="preserve">С-АШ/13-01-2025/401573561 до 12.01.2026 </t>
  </si>
  <si>
    <t xml:space="preserve">С-АШ/17-01-2025/402863148 до 16.01.2026 </t>
  </si>
  <si>
    <t xml:space="preserve">С-АШ/16-01-2025/402566181 до 15.01.2026 </t>
  </si>
  <si>
    <t>± (15+4/Н)%
В диапазоне от 0,1 до 1,00 мкЗв/ч
± 15%
В диапазоне от 1.0 до 1000,0 мкЗв/ч
Где Н – измеренные числовые значения МЭД</t>
  </si>
  <si>
    <t>±(0,013×X + 5×к) для 40 Гц…1 кГц
±(0,015×X + 5×к) в полосе частот 50…60 Гц
±(0,0001*X + 1*к) 
X – значение измеренной величины по встроенному индикатору, к – цена единицы младшего разряда индикатора</t>
  </si>
  <si>
    <t>±0,5 (от 0 до  +50 °С), ±1,5 (в ост. диапазоне)</t>
  </si>
  <si>
    <t>±(0,05+0,05V) м/с
в диапазоне от 0,1 до 1 м/с включ.
±(0,1+0,05V) м/с в диапазоне св. 1 до 20 м/с.
где V – значение измеряемой скорости, м/с</t>
  </si>
  <si>
    <t xml:space="preserve">С-ТТ/29-01-2025/405760565 до 28.01.2026 </t>
  </si>
  <si>
    <t>МР 2.6.1.0361-24 п.IV "Радиационный контроль земельных участков, предназначенных под строительство жилых домов, зданий и сооружений общественного и производственного назначения, а также прилегающей к зданиям и сооружениям территории и территории общего пользования"</t>
  </si>
  <si>
    <t>Контрольная точка 12</t>
  </si>
  <si>
    <r>
      <t xml:space="preserve">Выберите ячейку (или столбец) с данными, где значения разделены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>.</t>
    </r>
  </si>
  <si>
    <r>
      <t xml:space="preserve">Перейдите в меню </t>
    </r>
    <r>
      <rPr>
        <b/>
        <sz val="11"/>
        <color theme="1"/>
        <rFont val="Calibri"/>
        <family val="2"/>
        <scheme val="minor"/>
      </rPr>
      <t>"Данные" → "Текст по столбцам"</t>
    </r>
    <r>
      <rPr>
        <sz val="11"/>
        <color theme="1"/>
        <rFont val="Calibri"/>
        <family val="2"/>
        <scheme val="minor"/>
      </rPr>
      <t>.</t>
    </r>
  </si>
  <si>
    <r>
      <t xml:space="preserve">Выберите </t>
    </r>
    <r>
      <rPr>
        <b/>
        <sz val="11"/>
        <color theme="1"/>
        <rFont val="Calibri"/>
        <family val="2"/>
        <scheme val="minor"/>
      </rPr>
      <t>"С разделителями"</t>
    </r>
    <r>
      <rPr>
        <sz val="11"/>
        <color theme="1"/>
        <rFont val="Calibri"/>
        <family val="2"/>
        <scheme val="minor"/>
      </rPr>
      <t xml:space="preserve"> и нажмите </t>
    </r>
    <r>
      <rPr>
        <b/>
        <sz val="11"/>
        <color theme="1"/>
        <rFont val="Calibri"/>
        <family val="2"/>
        <scheme val="minor"/>
      </rPr>
      <t>"Далее"</t>
    </r>
    <r>
      <rPr>
        <sz val="11"/>
        <color theme="1"/>
        <rFont val="Calibri"/>
        <family val="2"/>
        <scheme val="minor"/>
      </rPr>
      <t>.</t>
    </r>
  </si>
  <si>
    <r>
      <t xml:space="preserve">Поставьте галочку на </t>
    </r>
    <r>
      <rPr>
        <b/>
        <sz val="11"/>
        <color theme="1"/>
        <rFont val="Calibri"/>
        <family val="2"/>
        <scheme val="minor"/>
      </rPr>
      <t>";"</t>
    </r>
    <r>
      <rPr>
        <sz val="11"/>
        <color theme="1"/>
        <rFont val="Calibri"/>
        <family val="2"/>
        <scheme val="minor"/>
      </rPr>
      <t xml:space="preserve"> как разделитель.</t>
    </r>
  </si>
  <si>
    <r>
      <t xml:space="preserve">Нажмите </t>
    </r>
    <r>
      <rPr>
        <b/>
        <sz val="11"/>
        <color theme="1"/>
        <rFont val="Calibri"/>
        <family val="2"/>
        <scheme val="minor"/>
      </rPr>
      <t>"Готово"</t>
    </r>
    <r>
      <rPr>
        <sz val="11"/>
        <color theme="1"/>
        <rFont val="Calibri"/>
        <family val="2"/>
        <scheme val="minor"/>
      </rPr>
      <t xml:space="preserve"> – данные разложатся по соседним ячейкам.</t>
    </r>
  </si>
  <si>
    <t>Ua</t>
  </si>
  <si>
    <t>Сумма квадратов</t>
  </si>
  <si>
    <t>Ub</t>
  </si>
  <si>
    <t>Uс</t>
  </si>
  <si>
    <t>Итоговая</t>
  </si>
  <si>
    <t>Абсолют</t>
  </si>
  <si>
    <t>Абсолютная расширенная неопределенность, мкЗв/ч</t>
  </si>
  <si>
    <t xml:space="preserve">Среднее значение мощности дозы гамма-излучения, мкЗв/ч  </t>
  </si>
  <si>
    <t>Точка 17</t>
  </si>
  <si>
    <t>Точка 18</t>
  </si>
  <si>
    <r>
      <t>Плотность потока радона с поверхности грунта,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∙с)</t>
    </r>
  </si>
  <si>
    <r>
      <t>Абсолютная расширенная неопределенность,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∙с)</t>
    </r>
  </si>
  <si>
    <t>ОБЪЕДИНИТЬ("; "; ИСТИНА; Y7:AP7)</t>
  </si>
  <si>
    <t xml:space="preserve">  С-АШ/21-05-2025/433383424 до 20.05.2026</t>
  </si>
  <si>
    <t>Профиль 23</t>
  </si>
  <si>
    <t>Профиль 24</t>
  </si>
  <si>
    <t>Профиль 25</t>
  </si>
  <si>
    <t>Профиль 26</t>
  </si>
  <si>
    <t>Профиль 27</t>
  </si>
  <si>
    <t>Профиль 28</t>
  </si>
  <si>
    <t>Профиль 29</t>
  </si>
  <si>
    <t>Профиль 30</t>
  </si>
  <si>
    <t>Профиль 31</t>
  </si>
  <si>
    <t>Профиль 32</t>
  </si>
  <si>
    <t>000873</t>
  </si>
  <si>
    <t>С-АШ/22-01-2025/403727315 до 21.01.2026</t>
  </si>
  <si>
    <t>С-АШ/21-10-2025/475682276 до
20.10.2026</t>
  </si>
  <si>
    <t>Гамма-съемка территории проведена в режиме свободного поиска по маршрутным профилям, расстояние между которыми не превышает 10 метров на участке. Диапазон показаний дозиметра-радиометра: от 0,10 мкЗв/ч до 0,21 мкЗв/ч. Радиационных аномалий на обследуемой территории  не обнаружено (в соответствии с МР 2.6.1.0361-24)</t>
  </si>
  <si>
    <t>Дополнительные сведения (характеристика объекта): Измерения были проведены 13.12.2025, 14.12.2025, 15.12.2025, 16.12.2025,. Площадь общая 55 000 кв. м. Измерения ППР выполнены на участках открытого и сухого грунта. Температура воздуха 16.12.2025 составила от минус 1 °С до минус 4 °С, относительная влажность воздуха от 44 % до 58 %, атмосферное давление 747 мм рт. ст., без осадков; температура воздуха 13.12.2025 составила от минус 3 °С до минус 5 °С, относительная влажность воздуха от 50 % до 59 %, атмосферное давление 743 мм рт. ст., без осадков; температура воздуха 14.12.2025 составила от минус 1 °С до минус 5 °С, относительная влажность воздуха от 51 % до 59 %, атмосферное давление 740 мм рт. ст., без осадков; температура воздуха 15.12.2025 составила от минус 1 °С до минус 3 °С, относительная влажность воздуха от 55 % до 63 %, атмосферное давление 742 мм рт. ст., без осадков. Эскиз предоставлен заказчиком. При измерениях на объекте заказчик самостоятельно определяет расположение точки в соответствии с эскизом.</t>
  </si>
  <si>
    <t>Контрольная точка 13</t>
  </si>
  <si>
    <t>Контрольная точка 14</t>
  </si>
  <si>
    <t>Контрольная точка 15</t>
  </si>
  <si>
    <t>Контрольная точка 16</t>
  </si>
  <si>
    <t>Контрольная точка 17</t>
  </si>
  <si>
    <t>Контрольная точка 18</t>
  </si>
  <si>
    <t>Контрольная точка 19</t>
  </si>
  <si>
    <t>Контрольная точка 20</t>
  </si>
  <si>
    <t>Контрольная точка 21</t>
  </si>
  <si>
    <t>Контрольная точка 22</t>
  </si>
  <si>
    <t>Контрольная точка 23</t>
  </si>
  <si>
    <t>Контрольная точка 24</t>
  </si>
  <si>
    <t>Контрольная точка 25</t>
  </si>
  <si>
    <t>Контрольная точка 26</t>
  </si>
  <si>
    <t>Контрольная точка 27</t>
  </si>
  <si>
    <t>Контрольная точка 28</t>
  </si>
  <si>
    <t>Контрольная точка 29</t>
  </si>
  <si>
    <t>Контрольная точка 30</t>
  </si>
  <si>
    <t>Контрольная точка 31</t>
  </si>
  <si>
    <t>Контрольная точка 32</t>
  </si>
  <si>
    <t>Контрольная точка 33</t>
  </si>
  <si>
    <t>Контрольная точка 34</t>
  </si>
  <si>
    <t>Контрольная точка 35</t>
  </si>
  <si>
    <t>Контрольная точка 36</t>
  </si>
  <si>
    <t>Контрольная точка 37</t>
  </si>
  <si>
    <t>Контрольная точка 38</t>
  </si>
  <si>
    <t>Контрольная точка 39</t>
  </si>
  <si>
    <t>Контрольная точка 40</t>
  </si>
  <si>
    <t>Контрольная точка 41</t>
  </si>
  <si>
    <t>Контрольная точка 42</t>
  </si>
  <si>
    <t>Контрольная точка 43</t>
  </si>
  <si>
    <t>Контрольная точка 44</t>
  </si>
  <si>
    <t>Контрольная точка 45</t>
  </si>
  <si>
    <t>Контрольная точка 46</t>
  </si>
  <si>
    <t>Контрольная точка 47</t>
  </si>
  <si>
    <t>Контрольная точка 48</t>
  </si>
  <si>
    <t>Контрольная точка 49</t>
  </si>
  <si>
    <t>Контрольная точка 50</t>
  </si>
  <si>
    <t>Контрольная точка 51</t>
  </si>
  <si>
    <t>Контрольная точка 52</t>
  </si>
  <si>
    <t>Контрольная точка 53</t>
  </si>
  <si>
    <t>Контрольная точка 54</t>
  </si>
  <si>
    <t>Контрольная точка 55</t>
  </si>
  <si>
    <t>Точка 19</t>
  </si>
  <si>
    <t>Точка 20</t>
  </si>
  <si>
    <t>Точка 21</t>
  </si>
  <si>
    <t>Точка 22</t>
  </si>
  <si>
    <t>Точка 23</t>
  </si>
  <si>
    <t>Точка 24</t>
  </si>
  <si>
    <t>Точка 25</t>
  </si>
  <si>
    <t>Точка 26</t>
  </si>
  <si>
    <t>Точка 27</t>
  </si>
  <si>
    <t>Точка 28</t>
  </si>
  <si>
    <t>Точка 29</t>
  </si>
  <si>
    <t>Точка 30</t>
  </si>
  <si>
    <t>Точка 31</t>
  </si>
  <si>
    <t>Точка 32</t>
  </si>
  <si>
    <t>Точка 33</t>
  </si>
  <si>
    <t>Точка 34</t>
  </si>
  <si>
    <t>Точка 35</t>
  </si>
  <si>
    <t>Точка 36</t>
  </si>
  <si>
    <t>Точка 37</t>
  </si>
  <si>
    <t>Точка 38</t>
  </si>
  <si>
    <t>Точка 39</t>
  </si>
  <si>
    <t>Точка 40</t>
  </si>
  <si>
    <t>Точка 41</t>
  </si>
  <si>
    <t>Точка 42</t>
  </si>
  <si>
    <t>Точка 43</t>
  </si>
  <si>
    <t>Точка 44</t>
  </si>
  <si>
    <t>Точка 45</t>
  </si>
  <si>
    <t>Точка 46</t>
  </si>
  <si>
    <t>Точка 47</t>
  </si>
  <si>
    <t>Точка 48</t>
  </si>
  <si>
    <t>Точка 49</t>
  </si>
  <si>
    <t>Точка 50</t>
  </si>
  <si>
    <t>Точка 51</t>
  </si>
  <si>
    <t>Точка 52</t>
  </si>
  <si>
    <t>Точка 53</t>
  </si>
  <si>
    <t>Точка 54</t>
  </si>
  <si>
    <t>Точка 55</t>
  </si>
  <si>
    <t>Точка 56</t>
  </si>
  <si>
    <t>Точка 57</t>
  </si>
  <si>
    <t>Точка 58</t>
  </si>
  <si>
    <t>Точка 59</t>
  </si>
  <si>
    <t>Точка 60</t>
  </si>
  <si>
    <t>Точка 61</t>
  </si>
  <si>
    <t>Точка 62</t>
  </si>
  <si>
    <t>Точка 63</t>
  </si>
  <si>
    <t>Точка 64</t>
  </si>
  <si>
    <t>Точка 65</t>
  </si>
  <si>
    <t>Точка 66</t>
  </si>
  <si>
    <t>Точка 67</t>
  </si>
  <si>
    <t>Точка 68</t>
  </si>
  <si>
    <t>Точка 69</t>
  </si>
  <si>
    <t>Точка 70</t>
  </si>
  <si>
    <t>Точка 71</t>
  </si>
  <si>
    <t>Точка 72</t>
  </si>
  <si>
    <t>Точка 73</t>
  </si>
  <si>
    <t>Точка 74</t>
  </si>
  <si>
    <t>Точка 75</t>
  </si>
  <si>
    <t>Точка 76</t>
  </si>
  <si>
    <t>Точка 77</t>
  </si>
  <si>
    <t>Точка 78</t>
  </si>
  <si>
    <t>Точка 79</t>
  </si>
  <si>
    <t>Точка 80</t>
  </si>
  <si>
    <t>Точка 81</t>
  </si>
  <si>
    <t>Точка 82</t>
  </si>
  <si>
    <t>Точка 83</t>
  </si>
  <si>
    <t>Данные, предоставленные заказчиком, за которые он несет ответственность:  Площадь общая 55 000 кв. м. Допустимый уровень в пункте 15. Испытательная лаборатория не несет ответственность за данные, предоставленные заказчиком (заявление об ограничении ответственности испытательной лаборатории).</t>
  </si>
  <si>
    <r>
      <t>Среднее значение плотности потока радона с поверхности почвы с учетом неопределенности  R</t>
    </r>
    <r>
      <rPr>
        <vertAlign val="subscript"/>
        <sz val="10"/>
        <color theme="1"/>
        <rFont val="Arial"/>
        <family val="2"/>
        <charset val="204"/>
      </rPr>
      <t>ср</t>
    </r>
    <r>
      <rPr>
        <sz val="10"/>
        <color theme="1"/>
        <rFont val="Arial"/>
        <family val="2"/>
        <charset val="204"/>
      </rPr>
      <t xml:space="preserve"> ± δ - (16 ± 16)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 xml:space="preserve">∙с) </t>
    </r>
  </si>
  <si>
    <t>Юридический адрес заказчика: 660043, г Красноярск, ул. Степана Разина, дом 62</t>
  </si>
  <si>
    <t>Фактический адрес заказчика: 660043, г Красноярск, ул. Степана Разина, дом 62</t>
  </si>
  <si>
    <t>Наименование предприятия, организации, объекта, где производились измерения: Участки с кадастровыми номерами 24:50:0300297:428, 24:50:0300297:429, 24:11:0090103:1581, расположенные в микрорайоне «Просторы» (входящий в элемент планировочной структуры номер 2.14) 
г. Красноярска.</t>
  </si>
  <si>
    <t>24 декабря 2025 г.</t>
  </si>
  <si>
    <t>Измерения проводились в присутствии представителя заказчика: главный инженер Сипаров П.А.</t>
  </si>
  <si>
    <t xml:space="preserve">Измерения проводил: инженер ____________ Белов Дмитрий Андреевич </t>
  </si>
  <si>
    <t xml:space="preserve">Протокол подготовил: инженер ____________ Белов Дмитрий Андреевич </t>
  </si>
  <si>
    <t>УТВЕРЖДАЮ
Заведующий лабораторией</t>
  </si>
  <si>
    <t>_______________/М.О. Тарновский/</t>
  </si>
  <si>
    <t>Протокол испытаний № 41/26.11.25-1-Р/25</t>
  </si>
  <si>
    <t>Основание для измерений: договор № 26 от 05.11.2025, заявка № 41/26.11.25 от 26.11.2025</t>
  </si>
  <si>
    <t xml:space="preserve">Наименование и контактные данные заявителя (заказчика): ООО СК «ЕЛС», oooskels@mail.ru,  т. +7 (391) 206-79-73 </t>
  </si>
  <si>
    <t>Регистрационный номер карты замеров и(или) журнал регистрации результатов определения плотности потока радона: 41/26.11.25-1К и 7/2025</t>
  </si>
  <si>
    <t>Адрес предприятия (объекта): г. Красноярск</t>
  </si>
  <si>
    <t>Допустимый 
уровень по СанПиН 2.6.4115-25, мкЗв/ч</t>
  </si>
  <si>
    <r>
      <t>Допустимый 
уровень по СанПиН 2.6.4115-25, мБк/(м</t>
    </r>
    <r>
      <rPr>
        <vertAlign val="superscript"/>
        <sz val="10"/>
        <color theme="1"/>
        <rFont val="Arial"/>
        <family val="2"/>
        <charset val="204"/>
      </rPr>
      <t>2</t>
    </r>
    <r>
      <rPr>
        <sz val="10"/>
        <color theme="1"/>
        <rFont val="Arial"/>
        <family val="2"/>
        <charset val="204"/>
      </rPr>
      <t>∙с)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</si>
</sst>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color rgb="FF000000"/>
      <name val="Arial"/>
      <family val="2"/>
      <charset val="204"/>
    </font>
    <font>
      <sz val="10"/>
      <color theme="1"/>
      <name val="Calibri"/>
      <family val="2"/>
      <scheme val="minor"/>
    </font>
    <font>
      <vertAlign val="superscript"/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vertAlign val="subscript"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" fontId="0" fillId="0" borderId="0" xfId="0" applyNumberFormat="1"/>
    <xf numFmtId="2" fontId="3" fillId="0" borderId="0" xfId="0" applyNumberFormat="1" applyFont="1"/>
    <xf numFmtId="2" fontId="0" fillId="0" borderId="0" xfId="0" applyNumberFormat="1"/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2" fontId="0" fillId="2" borderId="0" xfId="0" applyNumberFormat="1" applyFill="1"/>
    <xf numFmtId="2" fontId="0" fillId="3" borderId="0" xfId="0" applyNumberFormat="1" applyFill="1"/>
    <xf numFmtId="1" fontId="8" fillId="0" borderId="1" xfId="1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 wrapText="1"/>
    </xf>
    <xf numFmtId="1" fontId="0" fillId="4" borderId="0" xfId="0" applyNumberFormat="1" applyFill="1"/>
    <xf numFmtId="1" fontId="0" fillId="5" borderId="0" xfId="0" applyNumberFormat="1" applyFill="1"/>
    <xf numFmtId="1" fontId="0" fillId="3" borderId="0" xfId="0" applyNumberFormat="1" applyFill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11" fillId="0" borderId="0" xfId="0" applyFont="1"/>
    <xf numFmtId="2" fontId="0" fillId="4" borderId="0" xfId="0" applyNumberFormat="1" applyFill="1"/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2" fontId="1" fillId="0" borderId="0" xfId="0" applyNumberFormat="1" applyFont="1"/>
    <xf numFmtId="0" fontId="3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 wrapText="1"/>
    </xf>
    <xf numFmtId="1" fontId="8" fillId="0" borderId="0" xfId="1" applyNumberFormat="1" applyFont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3" fillId="0" borderId="0" xfId="0" applyFont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2" fontId="3" fillId="4" borderId="0" xfId="0" applyNumberFormat="1" applyFont="1" applyFill="1"/>
    <xf numFmtId="0" fontId="1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textRotation="90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 textRotation="90"/>
    </xf>
    <xf numFmtId="14" fontId="3" fillId="0" borderId="11" xfId="0" applyNumberFormat="1" applyFont="1" applyBorder="1" applyAlignment="1">
      <alignment horizontal="center" vertical="center" textRotation="90"/>
    </xf>
    <xf numFmtId="14" fontId="3" fillId="0" borderId="7" xfId="0" applyNumberFormat="1" applyFont="1" applyBorder="1" applyAlignment="1">
      <alignment horizontal="center" vertical="center" textRotation="90"/>
    </xf>
    <xf numFmtId="2" fontId="3" fillId="0" borderId="1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1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textRotation="90"/>
    </xf>
    <xf numFmtId="14" fontId="1" fillId="0" borderId="6" xfId="0" applyNumberFormat="1" applyFont="1" applyBorder="1" applyAlignment="1">
      <alignment horizontal="center" vertical="center" textRotation="90"/>
    </xf>
    <xf numFmtId="14" fontId="1" fillId="0" borderId="11" xfId="0" applyNumberFormat="1" applyFont="1" applyBorder="1" applyAlignment="1">
      <alignment horizontal="center" vertical="center" textRotation="90"/>
    </xf>
    <xf numFmtId="14" fontId="1" fillId="0" borderId="7" xfId="0" applyNumberFormat="1" applyFont="1" applyBorder="1" applyAlignment="1">
      <alignment horizontal="center" vertical="center" textRotation="90"/>
    </xf>
  </cellXfs>
  <cellStyles count="2">
    <cellStyle name="Обычный" xfId="0" builtinId="0"/>
    <cellStyle name="Обычный_протокол карабулалес ЛПК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314199</xdr:colOff>
      <xdr:row>77</xdr:row>
      <xdr:rowOff>14015</xdr:rowOff>
    </xdr:from>
    <xdr:to>
      <xdr:col>7</xdr:col>
      <xdr:colOff>145676</xdr:colOff>
      <xdr:row>89</xdr:row>
      <xdr:rowOff>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00B9CCC7-6B91-8B22-7D4C-493578BA4987}"/>
            </a:ext>
          </a:extLst>
        </xdr:cNvPr>
        <xdr:cNvCxnSpPr/>
      </xdr:nvCxnSpPr>
      <xdr:spPr bwMode="auto">
        <a:xfrm>
          <a:off x="1748552" y="20688868"/>
          <a:ext cx="907242" cy="4076132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bg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314199</xdr:colOff>
      <xdr:row>74</xdr:row>
      <xdr:rowOff>0</xdr:rowOff>
    </xdr:from>
    <xdr:to>
      <xdr:col>11</xdr:col>
      <xdr:colOff>67235</xdr:colOff>
      <xdr:row>77</xdr:row>
      <xdr:rowOff>25221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859679BF-7E4A-9A74-5155-CD3EBF427C2A}"/>
            </a:ext>
          </a:extLst>
        </xdr:cNvPr>
        <xdr:cNvCxnSpPr/>
      </xdr:nvCxnSpPr>
      <xdr:spPr bwMode="auto">
        <a:xfrm flipV="1">
          <a:off x="1748552" y="20103353"/>
          <a:ext cx="2263154" cy="596721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bg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69678</xdr:colOff>
      <xdr:row>76</xdr:row>
      <xdr:rowOff>67829</xdr:rowOff>
    </xdr:from>
    <xdr:to>
      <xdr:col>8</xdr:col>
      <xdr:colOff>295479</xdr:colOff>
      <xdr:row>77</xdr:row>
      <xdr:rowOff>68569</xdr:rowOff>
    </xdr:to>
    <xdr:sp macro="" textlink="">
      <xdr:nvSpPr>
        <xdr:cNvPr id="29" name="Прямоугольник 28">
          <a:extLst>
            <a:ext uri="{FF2B5EF4-FFF2-40B4-BE49-F238E27FC236}">
              <a16:creationId xmlns:a16="http://schemas.microsoft.com/office/drawing/2014/main" id="{1183D3CE-1C9E-CE03-F95F-D5D4A1778D1C}"/>
            </a:ext>
          </a:extLst>
        </xdr:cNvPr>
        <xdr:cNvSpPr/>
      </xdr:nvSpPr>
      <xdr:spPr>
        <a:xfrm>
          <a:off x="2974803" y="20534673"/>
          <a:ext cx="225801" cy="1912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5</xdr:col>
      <xdr:colOff>164578</xdr:colOff>
      <xdr:row>76</xdr:row>
      <xdr:rowOff>115104</xdr:rowOff>
    </xdr:from>
    <xdr:to>
      <xdr:col>6</xdr:col>
      <xdr:colOff>31791</xdr:colOff>
      <xdr:row>77</xdr:row>
      <xdr:rowOff>115844</xdr:rowOff>
    </xdr:to>
    <xdr:sp macro="" textlink="">
      <xdr:nvSpPr>
        <xdr:cNvPr id="30" name="Прямоугольник 29">
          <a:extLst>
            <a:ext uri="{FF2B5EF4-FFF2-40B4-BE49-F238E27FC236}">
              <a16:creationId xmlns:a16="http://schemas.microsoft.com/office/drawing/2014/main" id="{DF3D389D-D918-B9C5-F66D-684528EA94DD}"/>
            </a:ext>
          </a:extLst>
        </xdr:cNvPr>
        <xdr:cNvSpPr/>
      </xdr:nvSpPr>
      <xdr:spPr>
        <a:xfrm>
          <a:off x="1957519" y="20599457"/>
          <a:ext cx="225801" cy="1912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5</xdr:col>
      <xdr:colOff>98044</xdr:colOff>
      <xdr:row>78</xdr:row>
      <xdr:rowOff>65028</xdr:rowOff>
    </xdr:from>
    <xdr:to>
      <xdr:col>5</xdr:col>
      <xdr:colOff>323845</xdr:colOff>
      <xdr:row>79</xdr:row>
      <xdr:rowOff>65768</xdr:rowOff>
    </xdr:to>
    <xdr:sp macro="" textlink="">
      <xdr:nvSpPr>
        <xdr:cNvPr id="32" name="Прямоугольник 31">
          <a:extLst>
            <a:ext uri="{FF2B5EF4-FFF2-40B4-BE49-F238E27FC236}">
              <a16:creationId xmlns:a16="http://schemas.microsoft.com/office/drawing/2014/main" id="{EC671EB1-4223-90B2-ACE8-96572DF2FA45}"/>
            </a:ext>
          </a:extLst>
        </xdr:cNvPr>
        <xdr:cNvSpPr/>
      </xdr:nvSpPr>
      <xdr:spPr>
        <a:xfrm>
          <a:off x="1913747" y="20912872"/>
          <a:ext cx="225801" cy="1912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5</xdr:col>
      <xdr:colOff>243019</xdr:colOff>
      <xdr:row>79</xdr:row>
      <xdr:rowOff>148722</xdr:rowOff>
    </xdr:from>
    <xdr:to>
      <xdr:col>6</xdr:col>
      <xdr:colOff>110232</xdr:colOff>
      <xdr:row>80</xdr:row>
      <xdr:rowOff>149462</xdr:rowOff>
    </xdr:to>
    <xdr:sp macro="" textlink="">
      <xdr:nvSpPr>
        <xdr:cNvPr id="34" name="Прямоугольник 33">
          <a:extLst>
            <a:ext uri="{FF2B5EF4-FFF2-40B4-BE49-F238E27FC236}">
              <a16:creationId xmlns:a16="http://schemas.microsoft.com/office/drawing/2014/main" id="{AF9C6A9D-E4DF-E928-BB6D-A84D4DDDAE34}"/>
            </a:ext>
          </a:extLst>
        </xdr:cNvPr>
        <xdr:cNvSpPr/>
      </xdr:nvSpPr>
      <xdr:spPr>
        <a:xfrm>
          <a:off x="2035960" y="21204575"/>
          <a:ext cx="225801" cy="1912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6</xdr:col>
      <xdr:colOff>310255</xdr:colOff>
      <xdr:row>80</xdr:row>
      <xdr:rowOff>47869</xdr:rowOff>
    </xdr:from>
    <xdr:to>
      <xdr:col>7</xdr:col>
      <xdr:colOff>177467</xdr:colOff>
      <xdr:row>81</xdr:row>
      <xdr:rowOff>48609</xdr:rowOff>
    </xdr:to>
    <xdr:sp macro="" textlink="">
      <xdr:nvSpPr>
        <xdr:cNvPr id="35" name="Прямоугольник 34">
          <a:extLst>
            <a:ext uri="{FF2B5EF4-FFF2-40B4-BE49-F238E27FC236}">
              <a16:creationId xmlns:a16="http://schemas.microsoft.com/office/drawing/2014/main" id="{344DED53-861C-454E-D0E1-E84ED553391E}"/>
            </a:ext>
          </a:extLst>
        </xdr:cNvPr>
        <xdr:cNvSpPr/>
      </xdr:nvSpPr>
      <xdr:spPr>
        <a:xfrm>
          <a:off x="2461784" y="21294222"/>
          <a:ext cx="225801" cy="1912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8</xdr:col>
      <xdr:colOff>299048</xdr:colOff>
      <xdr:row>78</xdr:row>
      <xdr:rowOff>171134</xdr:rowOff>
    </xdr:from>
    <xdr:to>
      <xdr:col>9</xdr:col>
      <xdr:colOff>166261</xdr:colOff>
      <xdr:row>79</xdr:row>
      <xdr:rowOff>171874</xdr:rowOff>
    </xdr:to>
    <xdr:sp macro="" textlink="">
      <xdr:nvSpPr>
        <xdr:cNvPr id="36" name="Прямоугольник 35">
          <a:extLst>
            <a:ext uri="{FF2B5EF4-FFF2-40B4-BE49-F238E27FC236}">
              <a16:creationId xmlns:a16="http://schemas.microsoft.com/office/drawing/2014/main" id="{786436C8-806D-3928-0CE4-F069C5747978}"/>
            </a:ext>
          </a:extLst>
        </xdr:cNvPr>
        <xdr:cNvSpPr/>
      </xdr:nvSpPr>
      <xdr:spPr>
        <a:xfrm>
          <a:off x="3167754" y="21036487"/>
          <a:ext cx="225801" cy="1912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8</xdr:col>
      <xdr:colOff>343872</xdr:colOff>
      <xdr:row>80</xdr:row>
      <xdr:rowOff>137516</xdr:rowOff>
    </xdr:from>
    <xdr:to>
      <xdr:col>9</xdr:col>
      <xdr:colOff>313765</xdr:colOff>
      <xdr:row>81</xdr:row>
      <xdr:rowOff>168088</xdr:rowOff>
    </xdr:to>
    <xdr:sp macro="" textlink="">
      <xdr:nvSpPr>
        <xdr:cNvPr id="41" name="Прямоугольник 40">
          <a:extLst>
            <a:ext uri="{FF2B5EF4-FFF2-40B4-BE49-F238E27FC236}">
              <a16:creationId xmlns:a16="http://schemas.microsoft.com/office/drawing/2014/main" id="{14EED999-8A23-FDA5-413A-3B8ACC37150D}"/>
            </a:ext>
          </a:extLst>
        </xdr:cNvPr>
        <xdr:cNvSpPr/>
      </xdr:nvSpPr>
      <xdr:spPr>
        <a:xfrm>
          <a:off x="3212578" y="21383869"/>
          <a:ext cx="328481" cy="221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11</a:t>
          </a:r>
        </a:p>
      </xdr:txBody>
    </xdr:sp>
    <xdr:clientData/>
  </xdr:twoCellAnchor>
  <xdr:twoCellAnchor>
    <xdr:from>
      <xdr:col>7</xdr:col>
      <xdr:colOff>175784</xdr:colOff>
      <xdr:row>81</xdr:row>
      <xdr:rowOff>115105</xdr:rowOff>
    </xdr:from>
    <xdr:to>
      <xdr:col>8</xdr:col>
      <xdr:colOff>145677</xdr:colOff>
      <xdr:row>82</xdr:row>
      <xdr:rowOff>145677</xdr:rowOff>
    </xdr:to>
    <xdr:sp macro="" textlink="">
      <xdr:nvSpPr>
        <xdr:cNvPr id="42" name="Прямоугольник 41">
          <a:extLst>
            <a:ext uri="{FF2B5EF4-FFF2-40B4-BE49-F238E27FC236}">
              <a16:creationId xmlns:a16="http://schemas.microsoft.com/office/drawing/2014/main" id="{423A2F94-74C7-59C8-C36D-EE07244AE273}"/>
            </a:ext>
          </a:extLst>
        </xdr:cNvPr>
        <xdr:cNvSpPr/>
      </xdr:nvSpPr>
      <xdr:spPr>
        <a:xfrm>
          <a:off x="2685902" y="21551958"/>
          <a:ext cx="328481" cy="221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12</a:t>
          </a:r>
        </a:p>
      </xdr:txBody>
    </xdr:sp>
    <xdr:clientData/>
  </xdr:twoCellAnchor>
  <xdr:twoCellAnchor>
    <xdr:from>
      <xdr:col>5</xdr:col>
      <xdr:colOff>343872</xdr:colOff>
      <xdr:row>83</xdr:row>
      <xdr:rowOff>36663</xdr:rowOff>
    </xdr:from>
    <xdr:to>
      <xdr:col>6</xdr:col>
      <xdr:colOff>313765</xdr:colOff>
      <xdr:row>84</xdr:row>
      <xdr:rowOff>67235</xdr:rowOff>
    </xdr:to>
    <xdr:sp macro="" textlink="">
      <xdr:nvSpPr>
        <xdr:cNvPr id="43" name="Прямоугольник 42">
          <a:extLst>
            <a:ext uri="{FF2B5EF4-FFF2-40B4-BE49-F238E27FC236}">
              <a16:creationId xmlns:a16="http://schemas.microsoft.com/office/drawing/2014/main" id="{0C34DC34-9DC9-836C-3B78-97C0EC57638E}"/>
            </a:ext>
          </a:extLst>
        </xdr:cNvPr>
        <xdr:cNvSpPr/>
      </xdr:nvSpPr>
      <xdr:spPr>
        <a:xfrm>
          <a:off x="2136813" y="21854516"/>
          <a:ext cx="328481" cy="221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13</a:t>
          </a:r>
        </a:p>
      </xdr:txBody>
    </xdr:sp>
    <xdr:clientData/>
  </xdr:twoCellAnchor>
  <xdr:twoCellAnchor>
    <xdr:from>
      <xdr:col>6</xdr:col>
      <xdr:colOff>310255</xdr:colOff>
      <xdr:row>84</xdr:row>
      <xdr:rowOff>81487</xdr:rowOff>
    </xdr:from>
    <xdr:to>
      <xdr:col>7</xdr:col>
      <xdr:colOff>280147</xdr:colOff>
      <xdr:row>85</xdr:row>
      <xdr:rowOff>112059</xdr:rowOff>
    </xdr:to>
    <xdr:sp macro="" textlink="">
      <xdr:nvSpPr>
        <xdr:cNvPr id="44" name="Прямоугольник 43">
          <a:extLst>
            <a:ext uri="{FF2B5EF4-FFF2-40B4-BE49-F238E27FC236}">
              <a16:creationId xmlns:a16="http://schemas.microsoft.com/office/drawing/2014/main" id="{82EB8239-64D8-0322-D295-28D17AC6B57A}"/>
            </a:ext>
          </a:extLst>
        </xdr:cNvPr>
        <xdr:cNvSpPr/>
      </xdr:nvSpPr>
      <xdr:spPr>
        <a:xfrm>
          <a:off x="2461784" y="22089840"/>
          <a:ext cx="328481" cy="221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15</a:t>
          </a:r>
        </a:p>
      </xdr:txBody>
    </xdr:sp>
    <xdr:clientData/>
  </xdr:twoCellAnchor>
  <xdr:twoCellAnchor>
    <xdr:from>
      <xdr:col>6</xdr:col>
      <xdr:colOff>119755</xdr:colOff>
      <xdr:row>87</xdr:row>
      <xdr:rowOff>14251</xdr:rowOff>
    </xdr:from>
    <xdr:to>
      <xdr:col>7</xdr:col>
      <xdr:colOff>89647</xdr:colOff>
      <xdr:row>88</xdr:row>
      <xdr:rowOff>44823</xdr:rowOff>
    </xdr:to>
    <xdr:sp macro="" textlink="">
      <xdr:nvSpPr>
        <xdr:cNvPr id="52" name="Прямоугольник 51">
          <a:extLst>
            <a:ext uri="{FF2B5EF4-FFF2-40B4-BE49-F238E27FC236}">
              <a16:creationId xmlns:a16="http://schemas.microsoft.com/office/drawing/2014/main" id="{31299118-6638-93C1-B006-70FCD615DACD}"/>
            </a:ext>
          </a:extLst>
        </xdr:cNvPr>
        <xdr:cNvSpPr/>
      </xdr:nvSpPr>
      <xdr:spPr>
        <a:xfrm>
          <a:off x="2271284" y="22594104"/>
          <a:ext cx="328481" cy="221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18</a:t>
          </a:r>
        </a:p>
      </xdr:txBody>
    </xdr:sp>
    <xdr:clientData/>
  </xdr:twoCellAnchor>
  <xdr:twoCellAnchor>
    <xdr:from>
      <xdr:col>8</xdr:col>
      <xdr:colOff>41312</xdr:colOff>
      <xdr:row>87</xdr:row>
      <xdr:rowOff>126311</xdr:rowOff>
    </xdr:from>
    <xdr:to>
      <xdr:col>9</xdr:col>
      <xdr:colOff>11205</xdr:colOff>
      <xdr:row>88</xdr:row>
      <xdr:rowOff>156883</xdr:rowOff>
    </xdr:to>
    <xdr:sp macro="" textlink="">
      <xdr:nvSpPr>
        <xdr:cNvPr id="53" name="Прямоугольник 52">
          <a:extLst>
            <a:ext uri="{FF2B5EF4-FFF2-40B4-BE49-F238E27FC236}">
              <a16:creationId xmlns:a16="http://schemas.microsoft.com/office/drawing/2014/main" id="{A503C6E1-D887-A6A1-DAE9-7E4A57F2122F}"/>
            </a:ext>
          </a:extLst>
        </xdr:cNvPr>
        <xdr:cNvSpPr/>
      </xdr:nvSpPr>
      <xdr:spPr>
        <a:xfrm>
          <a:off x="2910018" y="22706164"/>
          <a:ext cx="328481" cy="2210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19</a:t>
          </a:r>
        </a:p>
      </xdr:txBody>
    </xdr:sp>
    <xdr:clientData/>
  </xdr:twoCellAnchor>
  <xdr:twoCellAnchor>
    <xdr:from>
      <xdr:col>9</xdr:col>
      <xdr:colOff>195650</xdr:colOff>
      <xdr:row>74</xdr:row>
      <xdr:rowOff>54458</xdr:rowOff>
    </xdr:from>
    <xdr:to>
      <xdr:col>10</xdr:col>
      <xdr:colOff>129276</xdr:colOff>
      <xdr:row>75</xdr:row>
      <xdr:rowOff>130066</xdr:rowOff>
    </xdr:to>
    <xdr:sp macro="" textlink="">
      <xdr:nvSpPr>
        <xdr:cNvPr id="81" name="Ромб 80">
          <a:extLst>
            <a:ext uri="{FF2B5EF4-FFF2-40B4-BE49-F238E27FC236}">
              <a16:creationId xmlns:a16="http://schemas.microsoft.com/office/drawing/2014/main" id="{8CE2F5A5-B19C-9D74-62C1-2BB2BCD72E75}"/>
            </a:ext>
          </a:extLst>
        </xdr:cNvPr>
        <xdr:cNvSpPr/>
      </xdr:nvSpPr>
      <xdr:spPr bwMode="auto">
        <a:xfrm>
          <a:off x="3463916" y="20140302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</a:t>
          </a:r>
        </a:p>
      </xdr:txBody>
    </xdr:sp>
    <xdr:clientData/>
  </xdr:twoCellAnchor>
  <xdr:twoCellAnchor>
    <xdr:from>
      <xdr:col>8</xdr:col>
      <xdr:colOff>261135</xdr:colOff>
      <xdr:row>75</xdr:row>
      <xdr:rowOff>84224</xdr:rowOff>
    </xdr:from>
    <xdr:to>
      <xdr:col>9</xdr:col>
      <xdr:colOff>194760</xdr:colOff>
      <xdr:row>76</xdr:row>
      <xdr:rowOff>159832</xdr:rowOff>
    </xdr:to>
    <xdr:sp macro="" textlink="">
      <xdr:nvSpPr>
        <xdr:cNvPr id="82" name="Ромб 81">
          <a:extLst>
            <a:ext uri="{FF2B5EF4-FFF2-40B4-BE49-F238E27FC236}">
              <a16:creationId xmlns:a16="http://schemas.microsoft.com/office/drawing/2014/main" id="{30B6057D-6ED9-36C8-CBA1-B3C6DAD44F02}"/>
            </a:ext>
          </a:extLst>
        </xdr:cNvPr>
        <xdr:cNvSpPr/>
      </xdr:nvSpPr>
      <xdr:spPr bwMode="auto">
        <a:xfrm>
          <a:off x="3166260" y="20360568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</a:t>
          </a:r>
        </a:p>
      </xdr:txBody>
    </xdr:sp>
    <xdr:clientData/>
  </xdr:twoCellAnchor>
  <xdr:twoCellAnchor>
    <xdr:from>
      <xdr:col>7</xdr:col>
      <xdr:colOff>124214</xdr:colOff>
      <xdr:row>75</xdr:row>
      <xdr:rowOff>48505</xdr:rowOff>
    </xdr:from>
    <xdr:to>
      <xdr:col>8</xdr:col>
      <xdr:colOff>57839</xdr:colOff>
      <xdr:row>76</xdr:row>
      <xdr:rowOff>124113</xdr:rowOff>
    </xdr:to>
    <xdr:sp macro="" textlink="">
      <xdr:nvSpPr>
        <xdr:cNvPr id="83" name="Ромб 82">
          <a:extLst>
            <a:ext uri="{FF2B5EF4-FFF2-40B4-BE49-F238E27FC236}">
              <a16:creationId xmlns:a16="http://schemas.microsoft.com/office/drawing/2014/main" id="{F293D8EA-446C-C524-3E17-3B1DE4EA5109}"/>
            </a:ext>
          </a:extLst>
        </xdr:cNvPr>
        <xdr:cNvSpPr/>
      </xdr:nvSpPr>
      <xdr:spPr bwMode="auto">
        <a:xfrm>
          <a:off x="2666198" y="20324849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</a:t>
          </a:r>
        </a:p>
      </xdr:txBody>
    </xdr:sp>
    <xdr:clientData/>
  </xdr:twoCellAnchor>
  <xdr:twoCellAnchor>
    <xdr:from>
      <xdr:col>6</xdr:col>
      <xdr:colOff>273041</xdr:colOff>
      <xdr:row>76</xdr:row>
      <xdr:rowOff>84224</xdr:rowOff>
    </xdr:from>
    <xdr:to>
      <xdr:col>7</xdr:col>
      <xdr:colOff>206667</xdr:colOff>
      <xdr:row>77</xdr:row>
      <xdr:rowOff>159832</xdr:rowOff>
    </xdr:to>
    <xdr:sp macro="" textlink="">
      <xdr:nvSpPr>
        <xdr:cNvPr id="84" name="Ромб 83">
          <a:extLst>
            <a:ext uri="{FF2B5EF4-FFF2-40B4-BE49-F238E27FC236}">
              <a16:creationId xmlns:a16="http://schemas.microsoft.com/office/drawing/2014/main" id="{8DDDBB8C-AFD8-65D3-38B9-9327E85F17BB}"/>
            </a:ext>
          </a:extLst>
        </xdr:cNvPr>
        <xdr:cNvSpPr/>
      </xdr:nvSpPr>
      <xdr:spPr bwMode="auto">
        <a:xfrm>
          <a:off x="2451885" y="20551068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</a:t>
          </a:r>
        </a:p>
      </xdr:txBody>
    </xdr:sp>
    <xdr:clientData/>
  </xdr:twoCellAnchor>
  <xdr:twoCellAnchor>
    <xdr:from>
      <xdr:col>4</xdr:col>
      <xdr:colOff>255181</xdr:colOff>
      <xdr:row>76</xdr:row>
      <xdr:rowOff>143755</xdr:rowOff>
    </xdr:from>
    <xdr:to>
      <xdr:col>5</xdr:col>
      <xdr:colOff>188807</xdr:colOff>
      <xdr:row>78</xdr:row>
      <xdr:rowOff>28863</xdr:rowOff>
    </xdr:to>
    <xdr:sp macro="" textlink="">
      <xdr:nvSpPr>
        <xdr:cNvPr id="85" name="Ромб 84">
          <a:extLst>
            <a:ext uri="{FF2B5EF4-FFF2-40B4-BE49-F238E27FC236}">
              <a16:creationId xmlns:a16="http://schemas.microsoft.com/office/drawing/2014/main" id="{BF543255-443F-8643-0F11-15D1ECEE7E42}"/>
            </a:ext>
          </a:extLst>
        </xdr:cNvPr>
        <xdr:cNvSpPr/>
      </xdr:nvSpPr>
      <xdr:spPr bwMode="auto">
        <a:xfrm>
          <a:off x="1707744" y="20610599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</a:t>
          </a:r>
        </a:p>
      </xdr:txBody>
    </xdr:sp>
    <xdr:clientData/>
  </xdr:twoCellAnchor>
  <xdr:twoCellAnchor>
    <xdr:from>
      <xdr:col>4</xdr:col>
      <xdr:colOff>308759</xdr:colOff>
      <xdr:row>79</xdr:row>
      <xdr:rowOff>66365</xdr:rowOff>
    </xdr:from>
    <xdr:to>
      <xdr:col>5</xdr:col>
      <xdr:colOff>242385</xdr:colOff>
      <xdr:row>80</xdr:row>
      <xdr:rowOff>141973</xdr:rowOff>
    </xdr:to>
    <xdr:sp macro="" textlink="">
      <xdr:nvSpPr>
        <xdr:cNvPr id="86" name="Ромб 85">
          <a:extLst>
            <a:ext uri="{FF2B5EF4-FFF2-40B4-BE49-F238E27FC236}">
              <a16:creationId xmlns:a16="http://schemas.microsoft.com/office/drawing/2014/main" id="{3339653B-D05C-DAA6-72AF-9FCD990985AF}"/>
            </a:ext>
          </a:extLst>
        </xdr:cNvPr>
        <xdr:cNvSpPr/>
      </xdr:nvSpPr>
      <xdr:spPr bwMode="auto">
        <a:xfrm>
          <a:off x="1761322" y="21104709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</a:t>
          </a:r>
        </a:p>
      </xdr:txBody>
    </xdr:sp>
    <xdr:clientData/>
  </xdr:twoCellAnchor>
  <xdr:twoCellAnchor>
    <xdr:from>
      <xdr:col>5</xdr:col>
      <xdr:colOff>249229</xdr:colOff>
      <xdr:row>80</xdr:row>
      <xdr:rowOff>137802</xdr:rowOff>
    </xdr:from>
    <xdr:to>
      <xdr:col>6</xdr:col>
      <xdr:colOff>182854</xdr:colOff>
      <xdr:row>82</xdr:row>
      <xdr:rowOff>22910</xdr:rowOff>
    </xdr:to>
    <xdr:sp macro="" textlink="">
      <xdr:nvSpPr>
        <xdr:cNvPr id="87" name="Ромб 86">
          <a:extLst>
            <a:ext uri="{FF2B5EF4-FFF2-40B4-BE49-F238E27FC236}">
              <a16:creationId xmlns:a16="http://schemas.microsoft.com/office/drawing/2014/main" id="{B4F86975-DC8C-BE1B-45C5-F5130C351D41}"/>
            </a:ext>
          </a:extLst>
        </xdr:cNvPr>
        <xdr:cNvSpPr/>
      </xdr:nvSpPr>
      <xdr:spPr bwMode="auto">
        <a:xfrm>
          <a:off x="2064932" y="21366646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9</a:t>
          </a:r>
        </a:p>
      </xdr:txBody>
    </xdr:sp>
    <xdr:clientData/>
  </xdr:twoCellAnchor>
  <xdr:twoCellAnchor>
    <xdr:from>
      <xdr:col>6</xdr:col>
      <xdr:colOff>130166</xdr:colOff>
      <xdr:row>79</xdr:row>
      <xdr:rowOff>24693</xdr:rowOff>
    </xdr:from>
    <xdr:to>
      <xdr:col>7</xdr:col>
      <xdr:colOff>63792</xdr:colOff>
      <xdr:row>80</xdr:row>
      <xdr:rowOff>100301</xdr:rowOff>
    </xdr:to>
    <xdr:sp macro="" textlink="">
      <xdr:nvSpPr>
        <xdr:cNvPr id="88" name="Ромб 87">
          <a:extLst>
            <a:ext uri="{FF2B5EF4-FFF2-40B4-BE49-F238E27FC236}">
              <a16:creationId xmlns:a16="http://schemas.microsoft.com/office/drawing/2014/main" id="{02D06C5E-3BC4-E1C7-C00D-0BEDA72E5102}"/>
            </a:ext>
          </a:extLst>
        </xdr:cNvPr>
        <xdr:cNvSpPr/>
      </xdr:nvSpPr>
      <xdr:spPr bwMode="auto">
        <a:xfrm>
          <a:off x="2309010" y="21063037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8</a:t>
          </a:r>
        </a:p>
      </xdr:txBody>
    </xdr:sp>
    <xdr:clientData/>
  </xdr:twoCellAnchor>
  <xdr:twoCellAnchor>
    <xdr:from>
      <xdr:col>7</xdr:col>
      <xdr:colOff>142073</xdr:colOff>
      <xdr:row>79</xdr:row>
      <xdr:rowOff>24693</xdr:rowOff>
    </xdr:from>
    <xdr:to>
      <xdr:col>8</xdr:col>
      <xdr:colOff>75698</xdr:colOff>
      <xdr:row>80</xdr:row>
      <xdr:rowOff>100301</xdr:rowOff>
    </xdr:to>
    <xdr:sp macro="" textlink="">
      <xdr:nvSpPr>
        <xdr:cNvPr id="89" name="Ромб 88">
          <a:extLst>
            <a:ext uri="{FF2B5EF4-FFF2-40B4-BE49-F238E27FC236}">
              <a16:creationId xmlns:a16="http://schemas.microsoft.com/office/drawing/2014/main" id="{CC7386FF-68E5-C7C2-EFEB-98735E84E985}"/>
            </a:ext>
          </a:extLst>
        </xdr:cNvPr>
        <xdr:cNvSpPr/>
      </xdr:nvSpPr>
      <xdr:spPr bwMode="auto">
        <a:xfrm>
          <a:off x="2684057" y="21063037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10</a:t>
          </a:r>
        </a:p>
      </xdr:txBody>
    </xdr:sp>
    <xdr:clientData/>
  </xdr:twoCellAnchor>
  <xdr:twoCellAnchor>
    <xdr:from>
      <xdr:col>8</xdr:col>
      <xdr:colOff>88494</xdr:colOff>
      <xdr:row>80</xdr:row>
      <xdr:rowOff>880</xdr:rowOff>
    </xdr:from>
    <xdr:to>
      <xdr:col>9</xdr:col>
      <xdr:colOff>22119</xdr:colOff>
      <xdr:row>81</xdr:row>
      <xdr:rowOff>76488</xdr:rowOff>
    </xdr:to>
    <xdr:sp macro="" textlink="">
      <xdr:nvSpPr>
        <xdr:cNvPr id="90" name="Ромб 89">
          <a:extLst>
            <a:ext uri="{FF2B5EF4-FFF2-40B4-BE49-F238E27FC236}">
              <a16:creationId xmlns:a16="http://schemas.microsoft.com/office/drawing/2014/main" id="{FF2034FC-CE48-D16C-451B-E4C28C408689}"/>
            </a:ext>
          </a:extLst>
        </xdr:cNvPr>
        <xdr:cNvSpPr/>
      </xdr:nvSpPr>
      <xdr:spPr bwMode="auto">
        <a:xfrm>
          <a:off x="2993619" y="21229724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13</a:t>
          </a:r>
        </a:p>
      </xdr:txBody>
    </xdr:sp>
    <xdr:clientData/>
  </xdr:twoCellAnchor>
  <xdr:twoCellAnchor>
    <xdr:from>
      <xdr:col>9</xdr:col>
      <xdr:colOff>148025</xdr:colOff>
      <xdr:row>78</xdr:row>
      <xdr:rowOff>108036</xdr:rowOff>
    </xdr:from>
    <xdr:to>
      <xdr:col>10</xdr:col>
      <xdr:colOff>81651</xdr:colOff>
      <xdr:row>79</xdr:row>
      <xdr:rowOff>183644</xdr:rowOff>
    </xdr:to>
    <xdr:sp macro="" textlink="">
      <xdr:nvSpPr>
        <xdr:cNvPr id="109" name="Ромб 108">
          <a:extLst>
            <a:ext uri="{FF2B5EF4-FFF2-40B4-BE49-F238E27FC236}">
              <a16:creationId xmlns:a16="http://schemas.microsoft.com/office/drawing/2014/main" id="{447D4492-FE07-E93C-7BF5-26D1F92AA131}"/>
            </a:ext>
          </a:extLst>
        </xdr:cNvPr>
        <xdr:cNvSpPr/>
      </xdr:nvSpPr>
      <xdr:spPr bwMode="auto">
        <a:xfrm>
          <a:off x="3416291" y="20955880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15</a:t>
          </a:r>
        </a:p>
      </xdr:txBody>
    </xdr:sp>
    <xdr:clientData/>
  </xdr:twoCellAnchor>
  <xdr:twoCellAnchor>
    <xdr:from>
      <xdr:col>8</xdr:col>
      <xdr:colOff>142072</xdr:colOff>
      <xdr:row>81</xdr:row>
      <xdr:rowOff>143755</xdr:rowOff>
    </xdr:from>
    <xdr:to>
      <xdr:col>9</xdr:col>
      <xdr:colOff>75697</xdr:colOff>
      <xdr:row>83</xdr:row>
      <xdr:rowOff>28863</xdr:rowOff>
    </xdr:to>
    <xdr:sp macro="" textlink="">
      <xdr:nvSpPr>
        <xdr:cNvPr id="118" name="Ромб 117">
          <a:extLst>
            <a:ext uri="{FF2B5EF4-FFF2-40B4-BE49-F238E27FC236}">
              <a16:creationId xmlns:a16="http://schemas.microsoft.com/office/drawing/2014/main" id="{97A4B136-81A5-D8F2-D5EB-C7A233A26C51}"/>
            </a:ext>
          </a:extLst>
        </xdr:cNvPr>
        <xdr:cNvSpPr/>
      </xdr:nvSpPr>
      <xdr:spPr bwMode="auto">
        <a:xfrm>
          <a:off x="3047197" y="21563099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14</a:t>
          </a:r>
        </a:p>
      </xdr:txBody>
    </xdr:sp>
    <xdr:clientData/>
  </xdr:twoCellAnchor>
  <xdr:twoCellAnchor>
    <xdr:from>
      <xdr:col>7</xdr:col>
      <xdr:colOff>130166</xdr:colOff>
      <xdr:row>80</xdr:row>
      <xdr:rowOff>108036</xdr:rowOff>
    </xdr:from>
    <xdr:to>
      <xdr:col>8</xdr:col>
      <xdr:colOff>63791</xdr:colOff>
      <xdr:row>81</xdr:row>
      <xdr:rowOff>183644</xdr:rowOff>
    </xdr:to>
    <xdr:sp macro="" textlink="">
      <xdr:nvSpPr>
        <xdr:cNvPr id="125" name="Ромб 124">
          <a:extLst>
            <a:ext uri="{FF2B5EF4-FFF2-40B4-BE49-F238E27FC236}">
              <a16:creationId xmlns:a16="http://schemas.microsoft.com/office/drawing/2014/main" id="{C5271D6F-CF86-942E-76EA-5EFFD0FDC347}"/>
            </a:ext>
          </a:extLst>
        </xdr:cNvPr>
        <xdr:cNvSpPr/>
      </xdr:nvSpPr>
      <xdr:spPr bwMode="auto">
        <a:xfrm>
          <a:off x="2672150" y="21336880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11</a:t>
          </a:r>
        </a:p>
      </xdr:txBody>
    </xdr:sp>
    <xdr:clientData/>
  </xdr:twoCellAnchor>
  <xdr:twoCellAnchor>
    <xdr:from>
      <xdr:col>6</xdr:col>
      <xdr:colOff>219463</xdr:colOff>
      <xdr:row>81</xdr:row>
      <xdr:rowOff>90177</xdr:rowOff>
    </xdr:from>
    <xdr:to>
      <xdr:col>7</xdr:col>
      <xdr:colOff>153089</xdr:colOff>
      <xdr:row>82</xdr:row>
      <xdr:rowOff>165785</xdr:rowOff>
    </xdr:to>
    <xdr:sp macro="" textlink="">
      <xdr:nvSpPr>
        <xdr:cNvPr id="126" name="Ромб 125">
          <a:extLst>
            <a:ext uri="{FF2B5EF4-FFF2-40B4-BE49-F238E27FC236}">
              <a16:creationId xmlns:a16="http://schemas.microsoft.com/office/drawing/2014/main" id="{3224B850-A24E-AEB4-EA6C-79CFE6F4875D}"/>
            </a:ext>
          </a:extLst>
        </xdr:cNvPr>
        <xdr:cNvSpPr/>
      </xdr:nvSpPr>
      <xdr:spPr bwMode="auto">
        <a:xfrm>
          <a:off x="2398307" y="21509521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12</a:t>
          </a:r>
        </a:p>
      </xdr:txBody>
    </xdr:sp>
    <xdr:clientData/>
  </xdr:twoCellAnchor>
  <xdr:twoCellAnchor>
    <xdr:from>
      <xdr:col>5</xdr:col>
      <xdr:colOff>207557</xdr:colOff>
      <xdr:row>82</xdr:row>
      <xdr:rowOff>880</xdr:rowOff>
    </xdr:from>
    <xdr:to>
      <xdr:col>6</xdr:col>
      <xdr:colOff>141182</xdr:colOff>
      <xdr:row>83</xdr:row>
      <xdr:rowOff>76488</xdr:rowOff>
    </xdr:to>
    <xdr:sp macro="" textlink="">
      <xdr:nvSpPr>
        <xdr:cNvPr id="127" name="Ромб 126">
          <a:extLst>
            <a:ext uri="{FF2B5EF4-FFF2-40B4-BE49-F238E27FC236}">
              <a16:creationId xmlns:a16="http://schemas.microsoft.com/office/drawing/2014/main" id="{42E554A1-EE96-D47C-7022-87F527E65880}"/>
            </a:ext>
          </a:extLst>
        </xdr:cNvPr>
        <xdr:cNvSpPr/>
      </xdr:nvSpPr>
      <xdr:spPr bwMode="auto">
        <a:xfrm>
          <a:off x="2023260" y="21610724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28</a:t>
          </a:r>
        </a:p>
      </xdr:txBody>
    </xdr:sp>
    <xdr:clientData/>
  </xdr:twoCellAnchor>
  <xdr:twoCellAnchor>
    <xdr:from>
      <xdr:col>6</xdr:col>
      <xdr:colOff>261135</xdr:colOff>
      <xdr:row>82</xdr:row>
      <xdr:rowOff>143755</xdr:rowOff>
    </xdr:from>
    <xdr:to>
      <xdr:col>7</xdr:col>
      <xdr:colOff>194761</xdr:colOff>
      <xdr:row>84</xdr:row>
      <xdr:rowOff>28863</xdr:rowOff>
    </xdr:to>
    <xdr:sp macro="" textlink="">
      <xdr:nvSpPr>
        <xdr:cNvPr id="128" name="Ромб 127">
          <a:extLst>
            <a:ext uri="{FF2B5EF4-FFF2-40B4-BE49-F238E27FC236}">
              <a16:creationId xmlns:a16="http://schemas.microsoft.com/office/drawing/2014/main" id="{D9D1491D-4661-9672-D950-4F23007DD06D}"/>
            </a:ext>
          </a:extLst>
        </xdr:cNvPr>
        <xdr:cNvSpPr/>
      </xdr:nvSpPr>
      <xdr:spPr bwMode="auto">
        <a:xfrm>
          <a:off x="2439979" y="21753599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27</a:t>
          </a:r>
        </a:p>
      </xdr:txBody>
    </xdr:sp>
    <xdr:clientData/>
  </xdr:twoCellAnchor>
  <xdr:twoCellAnchor>
    <xdr:from>
      <xdr:col>5</xdr:col>
      <xdr:colOff>362339</xdr:colOff>
      <xdr:row>84</xdr:row>
      <xdr:rowOff>143755</xdr:rowOff>
    </xdr:from>
    <xdr:to>
      <xdr:col>6</xdr:col>
      <xdr:colOff>295964</xdr:colOff>
      <xdr:row>86</xdr:row>
      <xdr:rowOff>28863</xdr:rowOff>
    </xdr:to>
    <xdr:sp macro="" textlink="">
      <xdr:nvSpPr>
        <xdr:cNvPr id="129" name="Ромб 128">
          <a:extLst>
            <a:ext uri="{FF2B5EF4-FFF2-40B4-BE49-F238E27FC236}">
              <a16:creationId xmlns:a16="http://schemas.microsoft.com/office/drawing/2014/main" id="{293524C3-3B79-A83E-A6FD-6F9F94E9DAC7}"/>
            </a:ext>
          </a:extLst>
        </xdr:cNvPr>
        <xdr:cNvSpPr/>
      </xdr:nvSpPr>
      <xdr:spPr bwMode="auto">
        <a:xfrm>
          <a:off x="2178042" y="22134599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29</a:t>
          </a:r>
        </a:p>
      </xdr:txBody>
    </xdr:sp>
    <xdr:clientData/>
  </xdr:twoCellAnchor>
  <xdr:twoCellAnchor>
    <xdr:from>
      <xdr:col>7</xdr:col>
      <xdr:colOff>332573</xdr:colOff>
      <xdr:row>83</xdr:row>
      <xdr:rowOff>96130</xdr:rowOff>
    </xdr:from>
    <xdr:to>
      <xdr:col>8</xdr:col>
      <xdr:colOff>266198</xdr:colOff>
      <xdr:row>84</xdr:row>
      <xdr:rowOff>171738</xdr:rowOff>
    </xdr:to>
    <xdr:sp macro="" textlink="">
      <xdr:nvSpPr>
        <xdr:cNvPr id="135" name="Ромб 134">
          <a:extLst>
            <a:ext uri="{FF2B5EF4-FFF2-40B4-BE49-F238E27FC236}">
              <a16:creationId xmlns:a16="http://schemas.microsoft.com/office/drawing/2014/main" id="{855A2304-D822-3573-C10F-0E644285CCF3}"/>
            </a:ext>
          </a:extLst>
        </xdr:cNvPr>
        <xdr:cNvSpPr/>
      </xdr:nvSpPr>
      <xdr:spPr bwMode="auto">
        <a:xfrm>
          <a:off x="2874557" y="21896474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26</a:t>
          </a:r>
        </a:p>
      </xdr:txBody>
    </xdr:sp>
    <xdr:clientData/>
  </xdr:twoCellAnchor>
  <xdr:twoCellAnchor>
    <xdr:from>
      <xdr:col>9</xdr:col>
      <xdr:colOff>267088</xdr:colOff>
      <xdr:row>87</xdr:row>
      <xdr:rowOff>119942</xdr:rowOff>
    </xdr:from>
    <xdr:to>
      <xdr:col>10</xdr:col>
      <xdr:colOff>200714</xdr:colOff>
      <xdr:row>89</xdr:row>
      <xdr:rowOff>0</xdr:rowOff>
    </xdr:to>
    <xdr:sp macro="" textlink="">
      <xdr:nvSpPr>
        <xdr:cNvPr id="141" name="Ромб 140">
          <a:extLst>
            <a:ext uri="{FF2B5EF4-FFF2-40B4-BE49-F238E27FC236}">
              <a16:creationId xmlns:a16="http://schemas.microsoft.com/office/drawing/2014/main" id="{58E5C216-A1DF-33AF-28B9-D2FB5BAF4568}"/>
            </a:ext>
          </a:extLst>
        </xdr:cNvPr>
        <xdr:cNvSpPr/>
      </xdr:nvSpPr>
      <xdr:spPr bwMode="auto">
        <a:xfrm>
          <a:off x="3535354" y="22682286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33</a:t>
          </a:r>
        </a:p>
      </xdr:txBody>
    </xdr:sp>
    <xdr:clientData/>
  </xdr:twoCellAnchor>
  <xdr:twoCellAnchor>
    <xdr:from>
      <xdr:col>6</xdr:col>
      <xdr:colOff>142074</xdr:colOff>
      <xdr:row>88</xdr:row>
      <xdr:rowOff>143756</xdr:rowOff>
    </xdr:from>
    <xdr:to>
      <xdr:col>7</xdr:col>
      <xdr:colOff>75700</xdr:colOff>
      <xdr:row>89</xdr:row>
      <xdr:rowOff>0</xdr:rowOff>
    </xdr:to>
    <xdr:sp macro="" textlink="">
      <xdr:nvSpPr>
        <xdr:cNvPr id="169" name="Ромб 168">
          <a:extLst>
            <a:ext uri="{FF2B5EF4-FFF2-40B4-BE49-F238E27FC236}">
              <a16:creationId xmlns:a16="http://schemas.microsoft.com/office/drawing/2014/main" id="{D80B5756-3172-EB28-1FEA-6C5943D71C98}"/>
            </a:ext>
          </a:extLst>
        </xdr:cNvPr>
        <xdr:cNvSpPr/>
      </xdr:nvSpPr>
      <xdr:spPr bwMode="auto">
        <a:xfrm>
          <a:off x="2320918" y="22896600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53</a:t>
          </a:r>
        </a:p>
      </xdr:txBody>
    </xdr:sp>
    <xdr:clientData/>
  </xdr:twoCellAnchor>
  <xdr:twoCellAnchor>
    <xdr:from>
      <xdr:col>7</xdr:col>
      <xdr:colOff>142075</xdr:colOff>
      <xdr:row>86</xdr:row>
      <xdr:rowOff>137803</xdr:rowOff>
    </xdr:from>
    <xdr:to>
      <xdr:col>8</xdr:col>
      <xdr:colOff>75700</xdr:colOff>
      <xdr:row>88</xdr:row>
      <xdr:rowOff>22911</xdr:rowOff>
    </xdr:to>
    <xdr:sp macro="" textlink="">
      <xdr:nvSpPr>
        <xdr:cNvPr id="170" name="Ромб 169">
          <a:extLst>
            <a:ext uri="{FF2B5EF4-FFF2-40B4-BE49-F238E27FC236}">
              <a16:creationId xmlns:a16="http://schemas.microsoft.com/office/drawing/2014/main" id="{3923B053-6B13-3977-D441-C1F117528F44}"/>
            </a:ext>
          </a:extLst>
        </xdr:cNvPr>
        <xdr:cNvSpPr/>
      </xdr:nvSpPr>
      <xdr:spPr bwMode="auto">
        <a:xfrm>
          <a:off x="2684059" y="22509647"/>
          <a:ext cx="296766" cy="266108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55</a:t>
          </a:r>
        </a:p>
      </xdr:txBody>
    </xdr:sp>
    <xdr:clientData/>
  </xdr:twoCellAnchor>
  <xdr:twoCellAnchor>
    <xdr:from>
      <xdr:col>6</xdr:col>
      <xdr:colOff>253871</xdr:colOff>
      <xdr:row>74</xdr:row>
      <xdr:rowOff>67320</xdr:rowOff>
    </xdr:from>
    <xdr:to>
      <xdr:col>7</xdr:col>
      <xdr:colOff>183367</xdr:colOff>
      <xdr:row>75</xdr:row>
      <xdr:rowOff>153013</xdr:rowOff>
    </xdr:to>
    <xdr:sp macro="" textlink="">
      <xdr:nvSpPr>
        <xdr:cNvPr id="37" name="Ромб 36">
          <a:extLst>
            <a:ext uri="{FF2B5EF4-FFF2-40B4-BE49-F238E27FC236}">
              <a16:creationId xmlns:a16="http://schemas.microsoft.com/office/drawing/2014/main" id="{6855B489-A02F-3B26-0C8A-7ADAD2774005}"/>
            </a:ext>
          </a:extLst>
        </xdr:cNvPr>
        <xdr:cNvSpPr/>
      </xdr:nvSpPr>
      <xdr:spPr bwMode="auto">
        <a:xfrm>
          <a:off x="2263974" y="20082958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4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129061</xdr:colOff>
      <xdr:row>75</xdr:row>
      <xdr:rowOff>80458</xdr:rowOff>
    </xdr:from>
    <xdr:to>
      <xdr:col>6</xdr:col>
      <xdr:colOff>58558</xdr:colOff>
      <xdr:row>76</xdr:row>
      <xdr:rowOff>166151</xdr:rowOff>
    </xdr:to>
    <xdr:sp macro="" textlink="">
      <xdr:nvSpPr>
        <xdr:cNvPr id="38" name="Ромб 37">
          <a:extLst>
            <a:ext uri="{FF2B5EF4-FFF2-40B4-BE49-F238E27FC236}">
              <a16:creationId xmlns:a16="http://schemas.microsoft.com/office/drawing/2014/main" id="{C4A72409-3736-5D52-1DC3-48FA07ADBAFE}"/>
            </a:ext>
          </a:extLst>
        </xdr:cNvPr>
        <xdr:cNvSpPr/>
      </xdr:nvSpPr>
      <xdr:spPr bwMode="auto">
        <a:xfrm>
          <a:off x="1804147" y="20286596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3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234164</xdr:colOff>
      <xdr:row>76</xdr:row>
      <xdr:rowOff>73889</xdr:rowOff>
    </xdr:from>
    <xdr:to>
      <xdr:col>4</xdr:col>
      <xdr:colOff>163661</xdr:colOff>
      <xdr:row>77</xdr:row>
      <xdr:rowOff>159582</xdr:rowOff>
    </xdr:to>
    <xdr:sp macro="" textlink="">
      <xdr:nvSpPr>
        <xdr:cNvPr id="50" name="Ромб 49">
          <a:extLst>
            <a:ext uri="{FF2B5EF4-FFF2-40B4-BE49-F238E27FC236}">
              <a16:creationId xmlns:a16="http://schemas.microsoft.com/office/drawing/2014/main" id="{20CDB343-2284-D953-28EB-78783F559F59}"/>
            </a:ext>
          </a:extLst>
        </xdr:cNvPr>
        <xdr:cNvSpPr/>
      </xdr:nvSpPr>
      <xdr:spPr bwMode="auto">
        <a:xfrm>
          <a:off x="1239216" y="20470527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2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63372</xdr:colOff>
      <xdr:row>78</xdr:row>
      <xdr:rowOff>60751</xdr:rowOff>
    </xdr:from>
    <xdr:to>
      <xdr:col>2</xdr:col>
      <xdr:colOff>327886</xdr:colOff>
      <xdr:row>79</xdr:row>
      <xdr:rowOff>146444</xdr:rowOff>
    </xdr:to>
    <xdr:sp macro="" textlink="">
      <xdr:nvSpPr>
        <xdr:cNvPr id="59" name="Ромб 58">
          <a:extLst>
            <a:ext uri="{FF2B5EF4-FFF2-40B4-BE49-F238E27FC236}">
              <a16:creationId xmlns:a16="http://schemas.microsoft.com/office/drawing/2014/main" id="{FCBC0775-F28A-BBB5-BC51-90A3F0FFA7D0}"/>
            </a:ext>
          </a:extLst>
        </xdr:cNvPr>
        <xdr:cNvSpPr/>
      </xdr:nvSpPr>
      <xdr:spPr bwMode="auto">
        <a:xfrm>
          <a:off x="733406" y="20838389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17389</xdr:colOff>
      <xdr:row>81</xdr:row>
      <xdr:rowOff>67321</xdr:rowOff>
    </xdr:from>
    <xdr:to>
      <xdr:col>4</xdr:col>
      <xdr:colOff>281903</xdr:colOff>
      <xdr:row>82</xdr:row>
      <xdr:rowOff>153014</xdr:rowOff>
    </xdr:to>
    <xdr:sp macro="" textlink="">
      <xdr:nvSpPr>
        <xdr:cNvPr id="60" name="Ромб 59">
          <a:extLst>
            <a:ext uri="{FF2B5EF4-FFF2-40B4-BE49-F238E27FC236}">
              <a16:creationId xmlns:a16="http://schemas.microsoft.com/office/drawing/2014/main" id="{3EC78CE8-516C-F047-39CD-A47FFE0FB905}"/>
            </a:ext>
          </a:extLst>
        </xdr:cNvPr>
        <xdr:cNvSpPr/>
      </xdr:nvSpPr>
      <xdr:spPr bwMode="auto">
        <a:xfrm>
          <a:off x="1357458" y="21416459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6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50234</xdr:colOff>
      <xdr:row>78</xdr:row>
      <xdr:rowOff>139579</xdr:rowOff>
    </xdr:from>
    <xdr:to>
      <xdr:col>5</xdr:col>
      <xdr:colOff>314748</xdr:colOff>
      <xdr:row>80</xdr:row>
      <xdr:rowOff>34772</xdr:rowOff>
    </xdr:to>
    <xdr:sp macro="" textlink="">
      <xdr:nvSpPr>
        <xdr:cNvPr id="63" name="Ромб 62">
          <a:extLst>
            <a:ext uri="{FF2B5EF4-FFF2-40B4-BE49-F238E27FC236}">
              <a16:creationId xmlns:a16="http://schemas.microsoft.com/office/drawing/2014/main" id="{B11F224C-9C7F-1959-C636-99600D263D22}"/>
            </a:ext>
          </a:extLst>
        </xdr:cNvPr>
        <xdr:cNvSpPr/>
      </xdr:nvSpPr>
      <xdr:spPr bwMode="auto">
        <a:xfrm>
          <a:off x="1725320" y="20917217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7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214458</xdr:colOff>
      <xdr:row>77</xdr:row>
      <xdr:rowOff>106734</xdr:rowOff>
    </xdr:from>
    <xdr:to>
      <xdr:col>7</xdr:col>
      <xdr:colOff>143954</xdr:colOff>
      <xdr:row>79</xdr:row>
      <xdr:rowOff>1927</xdr:rowOff>
    </xdr:to>
    <xdr:sp macro="" textlink="">
      <xdr:nvSpPr>
        <xdr:cNvPr id="64" name="Ромб 63">
          <a:extLst>
            <a:ext uri="{FF2B5EF4-FFF2-40B4-BE49-F238E27FC236}">
              <a16:creationId xmlns:a16="http://schemas.microsoft.com/office/drawing/2014/main" id="{947B817A-B73B-88B8-539C-606B8ECDECAF}"/>
            </a:ext>
          </a:extLst>
        </xdr:cNvPr>
        <xdr:cNvSpPr/>
      </xdr:nvSpPr>
      <xdr:spPr bwMode="auto">
        <a:xfrm>
          <a:off x="2224561" y="20693872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8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109354</xdr:colOff>
      <xdr:row>76</xdr:row>
      <xdr:rowOff>67321</xdr:rowOff>
    </xdr:from>
    <xdr:to>
      <xdr:col>9</xdr:col>
      <xdr:colOff>38851</xdr:colOff>
      <xdr:row>77</xdr:row>
      <xdr:rowOff>153014</xdr:rowOff>
    </xdr:to>
    <xdr:sp macro="" textlink="">
      <xdr:nvSpPr>
        <xdr:cNvPr id="69" name="Ромб 68">
          <a:extLst>
            <a:ext uri="{FF2B5EF4-FFF2-40B4-BE49-F238E27FC236}">
              <a16:creationId xmlns:a16="http://schemas.microsoft.com/office/drawing/2014/main" id="{6E30F3F0-E6EB-8A9F-711E-E2EB8DA1DD80}"/>
            </a:ext>
          </a:extLst>
        </xdr:cNvPr>
        <xdr:cNvSpPr/>
      </xdr:nvSpPr>
      <xdr:spPr bwMode="auto">
        <a:xfrm>
          <a:off x="2789492" y="20463959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9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175044</xdr:colOff>
      <xdr:row>79</xdr:row>
      <xdr:rowOff>60751</xdr:rowOff>
    </xdr:from>
    <xdr:to>
      <xdr:col>9</xdr:col>
      <xdr:colOff>104541</xdr:colOff>
      <xdr:row>80</xdr:row>
      <xdr:rowOff>146444</xdr:rowOff>
    </xdr:to>
    <xdr:sp macro="" textlink="">
      <xdr:nvSpPr>
        <xdr:cNvPr id="91" name="Ромб 90">
          <a:extLst>
            <a:ext uri="{FF2B5EF4-FFF2-40B4-BE49-F238E27FC236}">
              <a16:creationId xmlns:a16="http://schemas.microsoft.com/office/drawing/2014/main" id="{65DBBB75-E7DE-D397-C97C-A9C381F3B6E7}"/>
            </a:ext>
          </a:extLst>
        </xdr:cNvPr>
        <xdr:cNvSpPr/>
      </xdr:nvSpPr>
      <xdr:spPr bwMode="auto">
        <a:xfrm>
          <a:off x="2855182" y="21028889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12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188182</xdr:colOff>
      <xdr:row>80</xdr:row>
      <xdr:rowOff>14768</xdr:rowOff>
    </xdr:from>
    <xdr:to>
      <xdr:col>7</xdr:col>
      <xdr:colOff>117678</xdr:colOff>
      <xdr:row>81</xdr:row>
      <xdr:rowOff>100461</xdr:rowOff>
    </xdr:to>
    <xdr:sp macro="" textlink="">
      <xdr:nvSpPr>
        <xdr:cNvPr id="95" name="Ромб 94">
          <a:extLst>
            <a:ext uri="{FF2B5EF4-FFF2-40B4-BE49-F238E27FC236}">
              <a16:creationId xmlns:a16="http://schemas.microsoft.com/office/drawing/2014/main" id="{B9FE492A-1395-5507-18FC-A38B8CD232EF}"/>
            </a:ext>
          </a:extLst>
        </xdr:cNvPr>
        <xdr:cNvSpPr/>
      </xdr:nvSpPr>
      <xdr:spPr bwMode="auto">
        <a:xfrm>
          <a:off x="2198285" y="21173406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11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326130</xdr:colOff>
      <xdr:row>83</xdr:row>
      <xdr:rowOff>119871</xdr:rowOff>
    </xdr:from>
    <xdr:to>
      <xdr:col>6</xdr:col>
      <xdr:colOff>255627</xdr:colOff>
      <xdr:row>85</xdr:row>
      <xdr:rowOff>15064</xdr:rowOff>
    </xdr:to>
    <xdr:sp macro="" textlink="">
      <xdr:nvSpPr>
        <xdr:cNvPr id="96" name="Ромб 95">
          <a:extLst>
            <a:ext uri="{FF2B5EF4-FFF2-40B4-BE49-F238E27FC236}">
              <a16:creationId xmlns:a16="http://schemas.microsoft.com/office/drawing/2014/main" id="{BF5814D7-0408-9E50-DDAF-97A07698CE8D}"/>
            </a:ext>
          </a:extLst>
        </xdr:cNvPr>
        <xdr:cNvSpPr/>
      </xdr:nvSpPr>
      <xdr:spPr bwMode="auto">
        <a:xfrm>
          <a:off x="2001216" y="21850009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15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188181</xdr:colOff>
      <xdr:row>84</xdr:row>
      <xdr:rowOff>80458</xdr:rowOff>
    </xdr:from>
    <xdr:to>
      <xdr:col>9</xdr:col>
      <xdr:colOff>117678</xdr:colOff>
      <xdr:row>85</xdr:row>
      <xdr:rowOff>166151</xdr:rowOff>
    </xdr:to>
    <xdr:sp macro="" textlink="">
      <xdr:nvSpPr>
        <xdr:cNvPr id="98" name="Ромб 97">
          <a:extLst>
            <a:ext uri="{FF2B5EF4-FFF2-40B4-BE49-F238E27FC236}">
              <a16:creationId xmlns:a16="http://schemas.microsoft.com/office/drawing/2014/main" id="{D39C1A93-BAE4-D85A-D945-01759FFBE147}"/>
            </a:ext>
          </a:extLst>
        </xdr:cNvPr>
        <xdr:cNvSpPr/>
      </xdr:nvSpPr>
      <xdr:spPr bwMode="auto">
        <a:xfrm>
          <a:off x="2868319" y="22001096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17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56803</xdr:colOff>
      <xdr:row>82</xdr:row>
      <xdr:rowOff>8199</xdr:rowOff>
    </xdr:from>
    <xdr:to>
      <xdr:col>8</xdr:col>
      <xdr:colOff>321317</xdr:colOff>
      <xdr:row>83</xdr:row>
      <xdr:rowOff>93892</xdr:rowOff>
    </xdr:to>
    <xdr:sp macro="" textlink="">
      <xdr:nvSpPr>
        <xdr:cNvPr id="99" name="Ромб 98">
          <a:extLst>
            <a:ext uri="{FF2B5EF4-FFF2-40B4-BE49-F238E27FC236}">
              <a16:creationId xmlns:a16="http://schemas.microsoft.com/office/drawing/2014/main" id="{B8EEA866-9428-9A5C-6DEF-6C6653B29574}"/>
            </a:ext>
          </a:extLst>
        </xdr:cNvPr>
        <xdr:cNvSpPr/>
      </xdr:nvSpPr>
      <xdr:spPr bwMode="auto">
        <a:xfrm>
          <a:off x="2736941" y="21547837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14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253872</xdr:colOff>
      <xdr:row>87</xdr:row>
      <xdr:rowOff>106734</xdr:rowOff>
    </xdr:from>
    <xdr:to>
      <xdr:col>9</xdr:col>
      <xdr:colOff>183369</xdr:colOff>
      <xdr:row>89</xdr:row>
      <xdr:rowOff>1927</xdr:rowOff>
    </xdr:to>
    <xdr:sp macro="" textlink="">
      <xdr:nvSpPr>
        <xdr:cNvPr id="119" name="Ромб 118">
          <a:extLst>
            <a:ext uri="{FF2B5EF4-FFF2-40B4-BE49-F238E27FC236}">
              <a16:creationId xmlns:a16="http://schemas.microsoft.com/office/drawing/2014/main" id="{2EB0547B-5C78-8F2C-BAB5-7949E194B115}"/>
            </a:ext>
          </a:extLst>
        </xdr:cNvPr>
        <xdr:cNvSpPr/>
      </xdr:nvSpPr>
      <xdr:spPr bwMode="auto">
        <a:xfrm>
          <a:off x="2934010" y="22598872"/>
          <a:ext cx="264514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21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161838</xdr:colOff>
      <xdr:row>75</xdr:row>
      <xdr:rowOff>49915</xdr:rowOff>
    </xdr:from>
    <xdr:to>
      <xdr:col>5</xdr:col>
      <xdr:colOff>25690</xdr:colOff>
      <xdr:row>76</xdr:row>
      <xdr:rowOff>55697</xdr:rowOff>
    </xdr:to>
    <xdr:sp macro="" textlink="">
      <xdr:nvSpPr>
        <xdr:cNvPr id="157" name="Прямоугольник 156">
          <a:extLst>
            <a:ext uri="{FF2B5EF4-FFF2-40B4-BE49-F238E27FC236}">
              <a16:creationId xmlns:a16="http://schemas.microsoft.com/office/drawing/2014/main" id="{488EEFAC-6A0C-7BB2-AC54-0E1CCBE655D5}"/>
            </a:ext>
          </a:extLst>
        </xdr:cNvPr>
        <xdr:cNvSpPr/>
      </xdr:nvSpPr>
      <xdr:spPr>
        <a:xfrm>
          <a:off x="1501907" y="20256053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2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122424</xdr:colOff>
      <xdr:row>78</xdr:row>
      <xdr:rowOff>109035</xdr:rowOff>
    </xdr:from>
    <xdr:to>
      <xdr:col>3</xdr:col>
      <xdr:colOff>321293</xdr:colOff>
      <xdr:row>79</xdr:row>
      <xdr:rowOff>114817</xdr:rowOff>
    </xdr:to>
    <xdr:sp macro="" textlink="">
      <xdr:nvSpPr>
        <xdr:cNvPr id="158" name="Прямоугольник 157">
          <a:extLst>
            <a:ext uri="{FF2B5EF4-FFF2-40B4-BE49-F238E27FC236}">
              <a16:creationId xmlns:a16="http://schemas.microsoft.com/office/drawing/2014/main" id="{5ED87118-1CED-6234-0E3C-CC10D38EDE63}"/>
            </a:ext>
          </a:extLst>
        </xdr:cNvPr>
        <xdr:cNvSpPr/>
      </xdr:nvSpPr>
      <xdr:spPr>
        <a:xfrm>
          <a:off x="1127476" y="20886673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3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83011</xdr:colOff>
      <xdr:row>78</xdr:row>
      <xdr:rowOff>148449</xdr:rowOff>
    </xdr:from>
    <xdr:to>
      <xdr:col>6</xdr:col>
      <xdr:colOff>281880</xdr:colOff>
      <xdr:row>79</xdr:row>
      <xdr:rowOff>154231</xdr:rowOff>
    </xdr:to>
    <xdr:sp macro="" textlink="">
      <xdr:nvSpPr>
        <xdr:cNvPr id="159" name="Прямоугольник 158">
          <a:extLst>
            <a:ext uri="{FF2B5EF4-FFF2-40B4-BE49-F238E27FC236}">
              <a16:creationId xmlns:a16="http://schemas.microsoft.com/office/drawing/2014/main" id="{E49DB6A9-8351-94AD-43A8-9199EEA7B912}"/>
            </a:ext>
          </a:extLst>
        </xdr:cNvPr>
        <xdr:cNvSpPr/>
      </xdr:nvSpPr>
      <xdr:spPr>
        <a:xfrm>
          <a:off x="2093114" y="20926087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4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56735</xdr:colOff>
      <xdr:row>75</xdr:row>
      <xdr:rowOff>161587</xdr:rowOff>
    </xdr:from>
    <xdr:to>
      <xdr:col>9</xdr:col>
      <xdr:colOff>255604</xdr:colOff>
      <xdr:row>76</xdr:row>
      <xdr:rowOff>167369</xdr:rowOff>
    </xdr:to>
    <xdr:sp macro="" textlink="">
      <xdr:nvSpPr>
        <xdr:cNvPr id="160" name="Прямоугольник 159">
          <a:extLst>
            <a:ext uri="{FF2B5EF4-FFF2-40B4-BE49-F238E27FC236}">
              <a16:creationId xmlns:a16="http://schemas.microsoft.com/office/drawing/2014/main" id="{F4697066-253B-C801-B1BD-4D982467C08B}"/>
            </a:ext>
          </a:extLst>
        </xdr:cNvPr>
        <xdr:cNvSpPr/>
      </xdr:nvSpPr>
      <xdr:spPr>
        <a:xfrm>
          <a:off x="3071890" y="20367725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148701</xdr:colOff>
      <xdr:row>79</xdr:row>
      <xdr:rowOff>102466</xdr:rowOff>
    </xdr:from>
    <xdr:to>
      <xdr:col>10</xdr:col>
      <xdr:colOff>12553</xdr:colOff>
      <xdr:row>80</xdr:row>
      <xdr:rowOff>108248</xdr:rowOff>
    </xdr:to>
    <xdr:sp macro="" textlink="">
      <xdr:nvSpPr>
        <xdr:cNvPr id="161" name="Прямоугольник 160">
          <a:extLst>
            <a:ext uri="{FF2B5EF4-FFF2-40B4-BE49-F238E27FC236}">
              <a16:creationId xmlns:a16="http://schemas.microsoft.com/office/drawing/2014/main" id="{3C6365AE-B0CC-EDFF-EE11-E8792B104075}"/>
            </a:ext>
          </a:extLst>
        </xdr:cNvPr>
        <xdr:cNvSpPr/>
      </xdr:nvSpPr>
      <xdr:spPr>
        <a:xfrm>
          <a:off x="3163856" y="21070604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7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312924</xdr:colOff>
      <xdr:row>81</xdr:row>
      <xdr:rowOff>155019</xdr:rowOff>
    </xdr:from>
    <xdr:to>
      <xdr:col>6</xdr:col>
      <xdr:colOff>176776</xdr:colOff>
      <xdr:row>82</xdr:row>
      <xdr:rowOff>160801</xdr:rowOff>
    </xdr:to>
    <xdr:sp macro="" textlink="">
      <xdr:nvSpPr>
        <xdr:cNvPr id="162" name="Прямоугольник 161">
          <a:extLst>
            <a:ext uri="{FF2B5EF4-FFF2-40B4-BE49-F238E27FC236}">
              <a16:creationId xmlns:a16="http://schemas.microsoft.com/office/drawing/2014/main" id="{95508C4B-95B6-C9A2-E144-B19DD0990E65}"/>
            </a:ext>
          </a:extLst>
        </xdr:cNvPr>
        <xdr:cNvSpPr/>
      </xdr:nvSpPr>
      <xdr:spPr>
        <a:xfrm>
          <a:off x="1988010" y="21504157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6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17321</xdr:colOff>
      <xdr:row>84</xdr:row>
      <xdr:rowOff>148449</xdr:rowOff>
    </xdr:from>
    <xdr:to>
      <xdr:col>5</xdr:col>
      <xdr:colOff>216190</xdr:colOff>
      <xdr:row>85</xdr:row>
      <xdr:rowOff>154231</xdr:rowOff>
    </xdr:to>
    <xdr:sp macro="" textlink="">
      <xdr:nvSpPr>
        <xdr:cNvPr id="163" name="Прямоугольник 162">
          <a:extLst>
            <a:ext uri="{FF2B5EF4-FFF2-40B4-BE49-F238E27FC236}">
              <a16:creationId xmlns:a16="http://schemas.microsoft.com/office/drawing/2014/main" id="{D70EFFF0-5834-478C-A3C8-59FA935396C6}"/>
            </a:ext>
          </a:extLst>
        </xdr:cNvPr>
        <xdr:cNvSpPr/>
      </xdr:nvSpPr>
      <xdr:spPr>
        <a:xfrm>
          <a:off x="1692407" y="22069087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8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128993</xdr:colOff>
      <xdr:row>82</xdr:row>
      <xdr:rowOff>36776</xdr:rowOff>
    </xdr:from>
    <xdr:to>
      <xdr:col>9</xdr:col>
      <xdr:colOff>327862</xdr:colOff>
      <xdr:row>83</xdr:row>
      <xdr:rowOff>42558</xdr:rowOff>
    </xdr:to>
    <xdr:sp macro="" textlink="">
      <xdr:nvSpPr>
        <xdr:cNvPr id="173" name="Прямоугольник 172">
          <a:extLst>
            <a:ext uri="{FF2B5EF4-FFF2-40B4-BE49-F238E27FC236}">
              <a16:creationId xmlns:a16="http://schemas.microsoft.com/office/drawing/2014/main" id="{7DB8CFB5-03E6-4338-5542-61C8675E62DA}"/>
            </a:ext>
          </a:extLst>
        </xdr:cNvPr>
        <xdr:cNvSpPr/>
      </xdr:nvSpPr>
      <xdr:spPr>
        <a:xfrm>
          <a:off x="3144148" y="21576414"/>
          <a:ext cx="198869" cy="1962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9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216119</xdr:colOff>
      <xdr:row>76</xdr:row>
      <xdr:rowOff>177362</xdr:rowOff>
    </xdr:from>
    <xdr:to>
      <xdr:col>17</xdr:col>
      <xdr:colOff>223444</xdr:colOff>
      <xdr:row>79</xdr:row>
      <xdr:rowOff>162707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B6F5C88D-AE89-45E3-890F-CACE9D5D5EA7}"/>
            </a:ext>
          </a:extLst>
        </xdr:cNvPr>
        <xdr:cNvSpPr/>
      </xdr:nvSpPr>
      <xdr:spPr>
        <a:xfrm>
          <a:off x="5550119" y="20760887"/>
          <a:ext cx="340700" cy="5568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ru-RU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94922</xdr:colOff>
      <xdr:row>82</xdr:row>
      <xdr:rowOff>52552</xdr:rowOff>
    </xdr:from>
    <xdr:to>
      <xdr:col>17</xdr:col>
      <xdr:colOff>331662</xdr:colOff>
      <xdr:row>83</xdr:row>
      <xdr:rowOff>167411</xdr:rowOff>
    </xdr:to>
    <xdr:grpSp>
      <xdr:nvGrpSpPr>
        <xdr:cNvPr id="17" name="Группа 16">
          <a:extLst>
            <a:ext uri="{FF2B5EF4-FFF2-40B4-BE49-F238E27FC236}">
              <a16:creationId xmlns:a16="http://schemas.microsoft.com/office/drawing/2014/main" id="{BD043CE9-56CE-42EB-979E-0E98F637F0C9}"/>
            </a:ext>
          </a:extLst>
        </xdr:cNvPr>
        <xdr:cNvGrpSpPr/>
      </xdr:nvGrpSpPr>
      <xdr:grpSpPr>
        <a:xfrm>
          <a:off x="5925879" y="21736422"/>
          <a:ext cx="601174" cy="305359"/>
          <a:chOff x="3307245" y="23977738"/>
          <a:chExt cx="606574" cy="305359"/>
        </a:xfrm>
      </xdr:grpSpPr>
      <xdr:cxnSp macro="">
        <xdr:nvCxnSpPr>
          <xdr:cNvPr id="21" name="Прямая соединительная линия 20">
            <a:extLst>
              <a:ext uri="{FF2B5EF4-FFF2-40B4-BE49-F238E27FC236}">
                <a16:creationId xmlns:a16="http://schemas.microsoft.com/office/drawing/2014/main" id="{E140B226-D297-E938-FADB-2F9D7ECCAC21}"/>
              </a:ext>
            </a:extLst>
          </xdr:cNvPr>
          <xdr:cNvCxnSpPr/>
        </xdr:nvCxnSpPr>
        <xdr:spPr bwMode="auto">
          <a:xfrm flipH="1">
            <a:off x="3596393" y="24119571"/>
            <a:ext cx="317426" cy="83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sp macro="" textlink="">
        <xdr:nvSpPr>
          <xdr:cNvPr id="23" name="Овал 22">
            <a:extLst>
              <a:ext uri="{FF2B5EF4-FFF2-40B4-BE49-F238E27FC236}">
                <a16:creationId xmlns:a16="http://schemas.microsoft.com/office/drawing/2014/main" id="{DF60EAA5-5855-7A07-5E53-10A220C87B4A}"/>
              </a:ext>
            </a:extLst>
          </xdr:cNvPr>
          <xdr:cNvSpPr/>
        </xdr:nvSpPr>
        <xdr:spPr bwMode="auto">
          <a:xfrm>
            <a:off x="3307245" y="23977738"/>
            <a:ext cx="308972" cy="30535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ru-RU" sz="1200">
                <a:latin typeface="Times New Roman" pitchFamily="18" charset="0"/>
                <a:cs typeface="Times New Roman" pitchFamily="18" charset="0"/>
              </a:rPr>
              <a:t>1</a:t>
            </a:r>
          </a:p>
        </xdr:txBody>
      </xdr:sp>
    </xdr:grpSp>
    <xdr:clientData/>
  </xdr:twoCellAnchor>
  <xdr:twoCellAnchor>
    <xdr:from>
      <xdr:col>15</xdr:col>
      <xdr:colOff>314653</xdr:colOff>
      <xdr:row>85</xdr:row>
      <xdr:rowOff>145831</xdr:rowOff>
    </xdr:from>
    <xdr:to>
      <xdr:col>17</xdr:col>
      <xdr:colOff>303532</xdr:colOff>
      <xdr:row>88</xdr:row>
      <xdr:rowOff>151695</xdr:rowOff>
    </xdr:to>
    <xdr:sp macro="" textlink="">
      <xdr:nvSpPr>
        <xdr:cNvPr id="25" name="Ромб 24">
          <a:extLst>
            <a:ext uri="{FF2B5EF4-FFF2-40B4-BE49-F238E27FC236}">
              <a16:creationId xmlns:a16="http://schemas.microsoft.com/office/drawing/2014/main" id="{EFA24CC4-DB0D-45CC-A9C8-EE031DCC19B3}"/>
            </a:ext>
          </a:extLst>
        </xdr:cNvPr>
        <xdr:cNvSpPr/>
      </xdr:nvSpPr>
      <xdr:spPr bwMode="auto">
        <a:xfrm>
          <a:off x="5315278" y="22443856"/>
          <a:ext cx="655629" cy="577364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1200">
              <a:latin typeface="Times New Roman" pitchFamily="18" charset="0"/>
              <a:cs typeface="Times New Roman" pitchFamily="18" charset="0"/>
            </a:rPr>
            <a:t>1</a:t>
          </a:r>
        </a:p>
      </xdr:txBody>
    </xdr:sp>
    <xdr:clientData/>
  </xdr:twoCellAnchor>
  <xdr:twoCellAnchor>
    <xdr:from>
      <xdr:col>1</xdr:col>
      <xdr:colOff>38758</xdr:colOff>
      <xdr:row>75</xdr:row>
      <xdr:rowOff>26276</xdr:rowOff>
    </xdr:from>
    <xdr:to>
      <xdr:col>4</xdr:col>
      <xdr:colOff>137948</xdr:colOff>
      <xdr:row>79</xdr:row>
      <xdr:rowOff>189186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916CF217-A314-6B63-8D6C-E3EC4FEB215C}"/>
            </a:ext>
          </a:extLst>
        </xdr:cNvPr>
        <xdr:cNvCxnSpPr/>
      </xdr:nvCxnSpPr>
      <xdr:spPr bwMode="auto">
        <a:xfrm flipH="1">
          <a:off x="373775" y="20449190"/>
          <a:ext cx="1104242" cy="924910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124155</xdr:colOff>
      <xdr:row>73</xdr:row>
      <xdr:rowOff>151086</xdr:rowOff>
    </xdr:from>
    <xdr:to>
      <xdr:col>6</xdr:col>
      <xdr:colOff>177363</xdr:colOff>
      <xdr:row>75</xdr:row>
      <xdr:rowOff>44669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476839BF-F5C4-056B-DE3D-1F6A0887263E}"/>
            </a:ext>
          </a:extLst>
        </xdr:cNvPr>
        <xdr:cNvCxnSpPr/>
      </xdr:nvCxnSpPr>
      <xdr:spPr bwMode="auto">
        <a:xfrm flipH="1">
          <a:off x="1464224" y="20193000"/>
          <a:ext cx="723242" cy="274583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189845</xdr:colOff>
      <xdr:row>73</xdr:row>
      <xdr:rowOff>143203</xdr:rowOff>
    </xdr:from>
    <xdr:to>
      <xdr:col>7</xdr:col>
      <xdr:colOff>315310</xdr:colOff>
      <xdr:row>76</xdr:row>
      <xdr:rowOff>91965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24555E4D-4CF2-8A93-7AB6-879BC8551348}"/>
            </a:ext>
          </a:extLst>
        </xdr:cNvPr>
        <xdr:cNvCxnSpPr/>
      </xdr:nvCxnSpPr>
      <xdr:spPr bwMode="auto">
        <a:xfrm flipH="1" flipV="1">
          <a:off x="2199948" y="20185117"/>
          <a:ext cx="460483" cy="520262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294948</xdr:colOff>
      <xdr:row>76</xdr:row>
      <xdr:rowOff>64375</xdr:rowOff>
    </xdr:from>
    <xdr:to>
      <xdr:col>9</xdr:col>
      <xdr:colOff>197069</xdr:colOff>
      <xdr:row>77</xdr:row>
      <xdr:rowOff>170793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AC336B58-26BC-453F-35E9-580822B5618A}"/>
            </a:ext>
          </a:extLst>
        </xdr:cNvPr>
        <xdr:cNvCxnSpPr/>
      </xdr:nvCxnSpPr>
      <xdr:spPr bwMode="auto">
        <a:xfrm flipH="1" flipV="1">
          <a:off x="2640069" y="20677789"/>
          <a:ext cx="572155" cy="296918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183276</xdr:colOff>
      <xdr:row>77</xdr:row>
      <xdr:rowOff>157655</xdr:rowOff>
    </xdr:from>
    <xdr:to>
      <xdr:col>10</xdr:col>
      <xdr:colOff>65690</xdr:colOff>
      <xdr:row>77</xdr:row>
      <xdr:rowOff>169478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88B9BB7C-D284-756A-EE53-E6CF2EA2E757}"/>
            </a:ext>
          </a:extLst>
        </xdr:cNvPr>
        <xdr:cNvCxnSpPr/>
      </xdr:nvCxnSpPr>
      <xdr:spPr bwMode="auto">
        <a:xfrm flipH="1">
          <a:off x="3198431" y="20961569"/>
          <a:ext cx="217431" cy="11823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282466</xdr:colOff>
      <xdr:row>81</xdr:row>
      <xdr:rowOff>32845</xdr:rowOff>
    </xdr:from>
    <xdr:to>
      <xdr:col>8</xdr:col>
      <xdr:colOff>26276</xdr:colOff>
      <xdr:row>85</xdr:row>
      <xdr:rowOff>137948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7E4B6934-F93C-71FE-25FB-D3611D0941D7}"/>
            </a:ext>
          </a:extLst>
        </xdr:cNvPr>
        <xdr:cNvCxnSpPr/>
      </xdr:nvCxnSpPr>
      <xdr:spPr bwMode="auto">
        <a:xfrm flipV="1">
          <a:off x="1957552" y="21598759"/>
          <a:ext cx="748862" cy="867103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51897</xdr:colOff>
      <xdr:row>79</xdr:row>
      <xdr:rowOff>176047</xdr:rowOff>
    </xdr:from>
    <xdr:to>
      <xdr:col>5</xdr:col>
      <xdr:colOff>282466</xdr:colOff>
      <xdr:row>85</xdr:row>
      <xdr:rowOff>137948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0BF8C6B4-0530-DE13-6D92-8F0B9D12CB2B}"/>
            </a:ext>
          </a:extLst>
        </xdr:cNvPr>
        <xdr:cNvCxnSpPr/>
      </xdr:nvCxnSpPr>
      <xdr:spPr bwMode="auto">
        <a:xfrm flipH="1" flipV="1">
          <a:off x="386914" y="21360961"/>
          <a:ext cx="1570638" cy="1104901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178262</xdr:colOff>
      <xdr:row>84</xdr:row>
      <xdr:rowOff>98533</xdr:rowOff>
    </xdr:from>
    <xdr:to>
      <xdr:col>5</xdr:col>
      <xdr:colOff>275897</xdr:colOff>
      <xdr:row>85</xdr:row>
      <xdr:rowOff>62012</xdr:rowOff>
    </xdr:to>
    <xdr:sp macro="" textlink="">
      <xdr:nvSpPr>
        <xdr:cNvPr id="191" name="Прямоугольник 190">
          <a:extLst>
            <a:ext uri="{FF2B5EF4-FFF2-40B4-BE49-F238E27FC236}">
              <a16:creationId xmlns:a16="http://schemas.microsoft.com/office/drawing/2014/main" id="{440E4F72-82BA-9646-6ED8-0943BE0856FA}"/>
            </a:ext>
          </a:extLst>
        </xdr:cNvPr>
        <xdr:cNvSpPr/>
      </xdr:nvSpPr>
      <xdr:spPr>
        <a:xfrm>
          <a:off x="1853348" y="22235947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217675</xdr:colOff>
      <xdr:row>82</xdr:row>
      <xdr:rowOff>118240</xdr:rowOff>
    </xdr:from>
    <xdr:to>
      <xdr:col>5</xdr:col>
      <xdr:colOff>315310</xdr:colOff>
      <xdr:row>83</xdr:row>
      <xdr:rowOff>81719</xdr:rowOff>
    </xdr:to>
    <xdr:sp macro="" textlink="">
      <xdr:nvSpPr>
        <xdr:cNvPr id="192" name="Прямоугольник 191">
          <a:extLst>
            <a:ext uri="{FF2B5EF4-FFF2-40B4-BE49-F238E27FC236}">
              <a16:creationId xmlns:a16="http://schemas.microsoft.com/office/drawing/2014/main" id="{96C5E6B5-A1F9-2A69-A16F-EE4C7C9C60AA}"/>
            </a:ext>
          </a:extLst>
        </xdr:cNvPr>
        <xdr:cNvSpPr/>
      </xdr:nvSpPr>
      <xdr:spPr>
        <a:xfrm>
          <a:off x="1892761" y="21874654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4</xdr:col>
      <xdr:colOff>197969</xdr:colOff>
      <xdr:row>81</xdr:row>
      <xdr:rowOff>13136</xdr:rowOff>
    </xdr:from>
    <xdr:to>
      <xdr:col>4</xdr:col>
      <xdr:colOff>295604</xdr:colOff>
      <xdr:row>81</xdr:row>
      <xdr:rowOff>167115</xdr:rowOff>
    </xdr:to>
    <xdr:sp macro="" textlink="">
      <xdr:nvSpPr>
        <xdr:cNvPr id="193" name="Прямоугольник 192">
          <a:extLst>
            <a:ext uri="{FF2B5EF4-FFF2-40B4-BE49-F238E27FC236}">
              <a16:creationId xmlns:a16="http://schemas.microsoft.com/office/drawing/2014/main" id="{D540FBE4-CF94-90F2-A906-B56463BEA7E2}"/>
            </a:ext>
          </a:extLst>
        </xdr:cNvPr>
        <xdr:cNvSpPr/>
      </xdr:nvSpPr>
      <xdr:spPr>
        <a:xfrm>
          <a:off x="1538038" y="21579050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3</xdr:col>
      <xdr:colOff>151985</xdr:colOff>
      <xdr:row>81</xdr:row>
      <xdr:rowOff>78826</xdr:rowOff>
    </xdr:from>
    <xdr:to>
      <xdr:col>3</xdr:col>
      <xdr:colOff>249620</xdr:colOff>
      <xdr:row>82</xdr:row>
      <xdr:rowOff>42305</xdr:rowOff>
    </xdr:to>
    <xdr:sp macro="" textlink="">
      <xdr:nvSpPr>
        <xdr:cNvPr id="194" name="Прямоугольник 193">
          <a:extLst>
            <a:ext uri="{FF2B5EF4-FFF2-40B4-BE49-F238E27FC236}">
              <a16:creationId xmlns:a16="http://schemas.microsoft.com/office/drawing/2014/main" id="{FA2F41DA-1A24-66C8-D15B-1C705CBC2D17}"/>
            </a:ext>
          </a:extLst>
        </xdr:cNvPr>
        <xdr:cNvSpPr/>
      </xdr:nvSpPr>
      <xdr:spPr>
        <a:xfrm>
          <a:off x="1157037" y="21644740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6</xdr:col>
      <xdr:colOff>27176</xdr:colOff>
      <xdr:row>80</xdr:row>
      <xdr:rowOff>59119</xdr:rowOff>
    </xdr:from>
    <xdr:to>
      <xdr:col>6</xdr:col>
      <xdr:colOff>124811</xdr:colOff>
      <xdr:row>81</xdr:row>
      <xdr:rowOff>22598</xdr:rowOff>
    </xdr:to>
    <xdr:sp macro="" textlink="">
      <xdr:nvSpPr>
        <xdr:cNvPr id="195" name="Прямоугольник 194">
          <a:extLst>
            <a:ext uri="{FF2B5EF4-FFF2-40B4-BE49-F238E27FC236}">
              <a16:creationId xmlns:a16="http://schemas.microsoft.com/office/drawing/2014/main" id="{DF16DD62-C4F0-A319-3CD7-15ABFD8C649F}"/>
            </a:ext>
          </a:extLst>
        </xdr:cNvPr>
        <xdr:cNvSpPr/>
      </xdr:nvSpPr>
      <xdr:spPr>
        <a:xfrm>
          <a:off x="2037279" y="21434533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9</a:t>
          </a:r>
        </a:p>
      </xdr:txBody>
    </xdr:sp>
    <xdr:clientData/>
  </xdr:twoCellAnchor>
  <xdr:twoCellAnchor>
    <xdr:from>
      <xdr:col>1</xdr:col>
      <xdr:colOff>316210</xdr:colOff>
      <xdr:row>79</xdr:row>
      <xdr:rowOff>78826</xdr:rowOff>
    </xdr:from>
    <xdr:to>
      <xdr:col>2</xdr:col>
      <xdr:colOff>78828</xdr:colOff>
      <xdr:row>80</xdr:row>
      <xdr:rowOff>42305</xdr:rowOff>
    </xdr:to>
    <xdr:sp macro="" textlink="">
      <xdr:nvSpPr>
        <xdr:cNvPr id="196" name="Прямоугольник 195">
          <a:extLst>
            <a:ext uri="{FF2B5EF4-FFF2-40B4-BE49-F238E27FC236}">
              <a16:creationId xmlns:a16="http://schemas.microsoft.com/office/drawing/2014/main" id="{D02B2D28-A962-C6B8-53A4-11C705039784}"/>
            </a:ext>
          </a:extLst>
        </xdr:cNvPr>
        <xdr:cNvSpPr/>
      </xdr:nvSpPr>
      <xdr:spPr>
        <a:xfrm>
          <a:off x="651227" y="21263740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2</xdr:col>
      <xdr:colOff>289934</xdr:colOff>
      <xdr:row>78</xdr:row>
      <xdr:rowOff>32843</xdr:rowOff>
    </xdr:from>
    <xdr:to>
      <xdr:col>3</xdr:col>
      <xdr:colOff>52551</xdr:colOff>
      <xdr:row>78</xdr:row>
      <xdr:rowOff>186822</xdr:rowOff>
    </xdr:to>
    <xdr:sp macro="" textlink="">
      <xdr:nvSpPr>
        <xdr:cNvPr id="197" name="Прямоугольник 196">
          <a:extLst>
            <a:ext uri="{FF2B5EF4-FFF2-40B4-BE49-F238E27FC236}">
              <a16:creationId xmlns:a16="http://schemas.microsoft.com/office/drawing/2014/main" id="{BBAA6073-17AA-8DEB-19B1-76A993745406}"/>
            </a:ext>
          </a:extLst>
        </xdr:cNvPr>
        <xdr:cNvSpPr/>
      </xdr:nvSpPr>
      <xdr:spPr>
        <a:xfrm>
          <a:off x="959968" y="21027257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4</xdr:col>
      <xdr:colOff>283365</xdr:colOff>
      <xdr:row>77</xdr:row>
      <xdr:rowOff>151086</xdr:rowOff>
    </xdr:from>
    <xdr:to>
      <xdr:col>5</xdr:col>
      <xdr:colOff>45983</xdr:colOff>
      <xdr:row>78</xdr:row>
      <xdr:rowOff>114565</xdr:rowOff>
    </xdr:to>
    <xdr:sp macro="" textlink="">
      <xdr:nvSpPr>
        <xdr:cNvPr id="198" name="Прямоугольник 197">
          <a:extLst>
            <a:ext uri="{FF2B5EF4-FFF2-40B4-BE49-F238E27FC236}">
              <a16:creationId xmlns:a16="http://schemas.microsoft.com/office/drawing/2014/main" id="{85188A4D-6725-6F4B-6C23-C57616743838}"/>
            </a:ext>
          </a:extLst>
        </xdr:cNvPr>
        <xdr:cNvSpPr/>
      </xdr:nvSpPr>
      <xdr:spPr>
        <a:xfrm>
          <a:off x="1623434" y="20955000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xdr:txBody>
    </xdr:sp>
    <xdr:clientData/>
  </xdr:twoCellAnchor>
  <xdr:twoCellAnchor>
    <xdr:from>
      <xdr:col>4</xdr:col>
      <xdr:colOff>899</xdr:colOff>
      <xdr:row>78</xdr:row>
      <xdr:rowOff>118240</xdr:rowOff>
    </xdr:from>
    <xdr:to>
      <xdr:col>4</xdr:col>
      <xdr:colOff>98534</xdr:colOff>
      <xdr:row>79</xdr:row>
      <xdr:rowOff>81719</xdr:rowOff>
    </xdr:to>
    <xdr:sp macro="" textlink="">
      <xdr:nvSpPr>
        <xdr:cNvPr id="199" name="Прямоугольник 198">
          <a:extLst>
            <a:ext uri="{FF2B5EF4-FFF2-40B4-BE49-F238E27FC236}">
              <a16:creationId xmlns:a16="http://schemas.microsoft.com/office/drawing/2014/main" id="{EF2FA61D-F7C8-CD51-99BD-C96BDADE76DF}"/>
            </a:ext>
          </a:extLst>
        </xdr:cNvPr>
        <xdr:cNvSpPr/>
      </xdr:nvSpPr>
      <xdr:spPr>
        <a:xfrm>
          <a:off x="1340968" y="21112654"/>
          <a:ext cx="97635" cy="1539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6</xdr:col>
      <xdr:colOff>230814</xdr:colOff>
      <xdr:row>81</xdr:row>
      <xdr:rowOff>98533</xdr:rowOff>
    </xdr:from>
    <xdr:to>
      <xdr:col>7</xdr:col>
      <xdr:colOff>45984</xdr:colOff>
      <xdr:row>82</xdr:row>
      <xdr:rowOff>52550</xdr:rowOff>
    </xdr:to>
    <xdr:sp macro="" textlink="">
      <xdr:nvSpPr>
        <xdr:cNvPr id="200" name="Прямоугольник 199">
          <a:extLst>
            <a:ext uri="{FF2B5EF4-FFF2-40B4-BE49-F238E27FC236}">
              <a16:creationId xmlns:a16="http://schemas.microsoft.com/office/drawing/2014/main" id="{890F7033-1745-2EC3-6FEF-03C484CF0939}"/>
            </a:ext>
          </a:extLst>
        </xdr:cNvPr>
        <xdr:cNvSpPr/>
      </xdr:nvSpPr>
      <xdr:spPr>
        <a:xfrm>
          <a:off x="2240917" y="21664447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xdr:txBody>
    </xdr:sp>
    <xdr:clientData/>
  </xdr:twoCellAnchor>
  <xdr:twoCellAnchor>
    <xdr:from>
      <xdr:col>6</xdr:col>
      <xdr:colOff>7470</xdr:colOff>
      <xdr:row>78</xdr:row>
      <xdr:rowOff>52551</xdr:rowOff>
    </xdr:from>
    <xdr:to>
      <xdr:col>6</xdr:col>
      <xdr:colOff>157658</xdr:colOff>
      <xdr:row>79</xdr:row>
      <xdr:rowOff>6568</xdr:rowOff>
    </xdr:to>
    <xdr:sp macro="" textlink="">
      <xdr:nvSpPr>
        <xdr:cNvPr id="201" name="Прямоугольник 200">
          <a:extLst>
            <a:ext uri="{FF2B5EF4-FFF2-40B4-BE49-F238E27FC236}">
              <a16:creationId xmlns:a16="http://schemas.microsoft.com/office/drawing/2014/main" id="{E17FC437-A72A-54F2-B02D-DE6813BFEEAF}"/>
            </a:ext>
          </a:extLst>
        </xdr:cNvPr>
        <xdr:cNvSpPr/>
      </xdr:nvSpPr>
      <xdr:spPr>
        <a:xfrm>
          <a:off x="2017573" y="21046965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11</a:t>
          </a:r>
        </a:p>
      </xdr:txBody>
    </xdr:sp>
    <xdr:clientData/>
  </xdr:twoCellAnchor>
  <xdr:twoCellAnchor>
    <xdr:from>
      <xdr:col>7</xdr:col>
      <xdr:colOff>197968</xdr:colOff>
      <xdr:row>79</xdr:row>
      <xdr:rowOff>164224</xdr:rowOff>
    </xdr:from>
    <xdr:to>
      <xdr:col>8</xdr:col>
      <xdr:colOff>13139</xdr:colOff>
      <xdr:row>80</xdr:row>
      <xdr:rowOff>118241</xdr:rowOff>
    </xdr:to>
    <xdr:sp macro="" textlink="">
      <xdr:nvSpPr>
        <xdr:cNvPr id="202" name="Прямоугольник 201">
          <a:extLst>
            <a:ext uri="{FF2B5EF4-FFF2-40B4-BE49-F238E27FC236}">
              <a16:creationId xmlns:a16="http://schemas.microsoft.com/office/drawing/2014/main" id="{80A4C71F-998F-08D2-C2FE-F65580894857}"/>
            </a:ext>
          </a:extLst>
        </xdr:cNvPr>
        <xdr:cNvSpPr/>
      </xdr:nvSpPr>
      <xdr:spPr>
        <a:xfrm>
          <a:off x="2543089" y="21349138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6</xdr:col>
      <xdr:colOff>224245</xdr:colOff>
      <xdr:row>75</xdr:row>
      <xdr:rowOff>91965</xdr:rowOff>
    </xdr:from>
    <xdr:to>
      <xdr:col>7</xdr:col>
      <xdr:colOff>39415</xdr:colOff>
      <xdr:row>76</xdr:row>
      <xdr:rowOff>45982</xdr:rowOff>
    </xdr:to>
    <xdr:sp macro="" textlink="">
      <xdr:nvSpPr>
        <xdr:cNvPr id="203" name="Прямоугольник 202">
          <a:extLst>
            <a:ext uri="{FF2B5EF4-FFF2-40B4-BE49-F238E27FC236}">
              <a16:creationId xmlns:a16="http://schemas.microsoft.com/office/drawing/2014/main" id="{D2FCCFCF-CCC2-3DC3-36D9-9CB0A177F395}"/>
            </a:ext>
          </a:extLst>
        </xdr:cNvPr>
        <xdr:cNvSpPr/>
      </xdr:nvSpPr>
      <xdr:spPr>
        <a:xfrm>
          <a:off x="2234348" y="20514879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4</xdr:col>
      <xdr:colOff>243951</xdr:colOff>
      <xdr:row>76</xdr:row>
      <xdr:rowOff>32844</xdr:rowOff>
    </xdr:from>
    <xdr:to>
      <xdr:col>5</xdr:col>
      <xdr:colOff>59122</xdr:colOff>
      <xdr:row>76</xdr:row>
      <xdr:rowOff>177361</xdr:rowOff>
    </xdr:to>
    <xdr:sp macro="" textlink="">
      <xdr:nvSpPr>
        <xdr:cNvPr id="204" name="Прямоугольник 203">
          <a:extLst>
            <a:ext uri="{FF2B5EF4-FFF2-40B4-BE49-F238E27FC236}">
              <a16:creationId xmlns:a16="http://schemas.microsoft.com/office/drawing/2014/main" id="{EB771A45-F792-CFD9-9287-00D8A4F16382}"/>
            </a:ext>
          </a:extLst>
        </xdr:cNvPr>
        <xdr:cNvSpPr/>
      </xdr:nvSpPr>
      <xdr:spPr>
        <a:xfrm>
          <a:off x="1584020" y="20646258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5</xdr:col>
      <xdr:colOff>119141</xdr:colOff>
      <xdr:row>74</xdr:row>
      <xdr:rowOff>124810</xdr:rowOff>
    </xdr:from>
    <xdr:to>
      <xdr:col>5</xdr:col>
      <xdr:colOff>269329</xdr:colOff>
      <xdr:row>75</xdr:row>
      <xdr:rowOff>78827</xdr:rowOff>
    </xdr:to>
    <xdr:sp macro="" textlink="">
      <xdr:nvSpPr>
        <xdr:cNvPr id="205" name="Прямоугольник 204">
          <a:extLst>
            <a:ext uri="{FF2B5EF4-FFF2-40B4-BE49-F238E27FC236}">
              <a16:creationId xmlns:a16="http://schemas.microsoft.com/office/drawing/2014/main" id="{0110877B-A1CD-FA67-3C72-12DCA3624F08}"/>
            </a:ext>
          </a:extLst>
        </xdr:cNvPr>
        <xdr:cNvSpPr/>
      </xdr:nvSpPr>
      <xdr:spPr>
        <a:xfrm>
          <a:off x="1794227" y="20357224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7</xdr:col>
      <xdr:colOff>309640</xdr:colOff>
      <xdr:row>77</xdr:row>
      <xdr:rowOff>13137</xdr:rowOff>
    </xdr:from>
    <xdr:to>
      <xdr:col>8</xdr:col>
      <xdr:colOff>124811</xdr:colOff>
      <xdr:row>77</xdr:row>
      <xdr:rowOff>157654</xdr:rowOff>
    </xdr:to>
    <xdr:sp macro="" textlink="">
      <xdr:nvSpPr>
        <xdr:cNvPr id="206" name="Прямоугольник 205">
          <a:extLst>
            <a:ext uri="{FF2B5EF4-FFF2-40B4-BE49-F238E27FC236}">
              <a16:creationId xmlns:a16="http://schemas.microsoft.com/office/drawing/2014/main" id="{A723906B-EA42-07E2-73C6-890DAE7673CA}"/>
            </a:ext>
          </a:extLst>
        </xdr:cNvPr>
        <xdr:cNvSpPr/>
      </xdr:nvSpPr>
      <xdr:spPr>
        <a:xfrm>
          <a:off x="2654761" y="20817051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8</xdr:col>
      <xdr:colOff>316209</xdr:colOff>
      <xdr:row>79</xdr:row>
      <xdr:rowOff>177362</xdr:rowOff>
    </xdr:from>
    <xdr:to>
      <xdr:col>9</xdr:col>
      <xdr:colOff>131380</xdr:colOff>
      <xdr:row>80</xdr:row>
      <xdr:rowOff>131379</xdr:rowOff>
    </xdr:to>
    <xdr:sp macro="" textlink="">
      <xdr:nvSpPr>
        <xdr:cNvPr id="209" name="Прямоугольник 208">
          <a:extLst>
            <a:ext uri="{FF2B5EF4-FFF2-40B4-BE49-F238E27FC236}">
              <a16:creationId xmlns:a16="http://schemas.microsoft.com/office/drawing/2014/main" id="{186257A4-D6A1-934B-588B-17A485D19A81}"/>
            </a:ext>
          </a:extLst>
        </xdr:cNvPr>
        <xdr:cNvSpPr/>
      </xdr:nvSpPr>
      <xdr:spPr>
        <a:xfrm>
          <a:off x="2996347" y="21362276"/>
          <a:ext cx="150188" cy="1445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9</xdr:col>
      <xdr:colOff>207939</xdr:colOff>
      <xdr:row>80</xdr:row>
      <xdr:rowOff>72855</xdr:rowOff>
    </xdr:from>
    <xdr:to>
      <xdr:col>10</xdr:col>
      <xdr:colOff>97971</xdr:colOff>
      <xdr:row>81</xdr:row>
      <xdr:rowOff>54802</xdr:rowOff>
    </xdr:to>
    <xdr:sp macro="" textlink="">
      <xdr:nvSpPr>
        <xdr:cNvPr id="242" name="Ромб 241">
          <a:extLst>
            <a:ext uri="{FF2B5EF4-FFF2-40B4-BE49-F238E27FC236}">
              <a16:creationId xmlns:a16="http://schemas.microsoft.com/office/drawing/2014/main" id="{948F4D2E-56DD-B5FF-03EB-3D75B6171048}"/>
            </a:ext>
          </a:extLst>
        </xdr:cNvPr>
        <xdr:cNvSpPr/>
      </xdr:nvSpPr>
      <xdr:spPr bwMode="auto">
        <a:xfrm>
          <a:off x="3196068" y="21463284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21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191610</xdr:colOff>
      <xdr:row>79</xdr:row>
      <xdr:rowOff>18426</xdr:rowOff>
    </xdr:from>
    <xdr:to>
      <xdr:col>10</xdr:col>
      <xdr:colOff>81642</xdr:colOff>
      <xdr:row>80</xdr:row>
      <xdr:rowOff>373</xdr:rowOff>
    </xdr:to>
    <xdr:sp macro="" textlink="">
      <xdr:nvSpPr>
        <xdr:cNvPr id="245" name="Ромб 244">
          <a:extLst>
            <a:ext uri="{FF2B5EF4-FFF2-40B4-BE49-F238E27FC236}">
              <a16:creationId xmlns:a16="http://schemas.microsoft.com/office/drawing/2014/main" id="{EB89FBE2-AA64-59E7-371D-3FB01EB5C2C9}"/>
            </a:ext>
          </a:extLst>
        </xdr:cNvPr>
        <xdr:cNvSpPr/>
      </xdr:nvSpPr>
      <xdr:spPr bwMode="auto">
        <a:xfrm>
          <a:off x="3179739" y="21218355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22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6553</xdr:colOff>
      <xdr:row>77</xdr:row>
      <xdr:rowOff>170826</xdr:rowOff>
    </xdr:from>
    <xdr:to>
      <xdr:col>9</xdr:col>
      <xdr:colOff>228599</xdr:colOff>
      <xdr:row>78</xdr:row>
      <xdr:rowOff>152773</xdr:rowOff>
    </xdr:to>
    <xdr:sp macro="" textlink="">
      <xdr:nvSpPr>
        <xdr:cNvPr id="246" name="Ромб 245">
          <a:extLst>
            <a:ext uri="{FF2B5EF4-FFF2-40B4-BE49-F238E27FC236}">
              <a16:creationId xmlns:a16="http://schemas.microsoft.com/office/drawing/2014/main" id="{5258A668-A8FE-8466-9070-10C4C166F7CC}"/>
            </a:ext>
          </a:extLst>
        </xdr:cNvPr>
        <xdr:cNvSpPr/>
      </xdr:nvSpPr>
      <xdr:spPr bwMode="auto">
        <a:xfrm>
          <a:off x="2994682" y="20989755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23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22883</xdr:colOff>
      <xdr:row>79</xdr:row>
      <xdr:rowOff>29311</xdr:rowOff>
    </xdr:from>
    <xdr:to>
      <xdr:col>8</xdr:col>
      <xdr:colOff>244929</xdr:colOff>
      <xdr:row>80</xdr:row>
      <xdr:rowOff>11258</xdr:rowOff>
    </xdr:to>
    <xdr:sp macro="" textlink="">
      <xdr:nvSpPr>
        <xdr:cNvPr id="247" name="Ромб 246">
          <a:extLst>
            <a:ext uri="{FF2B5EF4-FFF2-40B4-BE49-F238E27FC236}">
              <a16:creationId xmlns:a16="http://schemas.microsoft.com/office/drawing/2014/main" id="{0107F327-7C91-A340-0609-38783552F3CE}"/>
            </a:ext>
          </a:extLst>
        </xdr:cNvPr>
        <xdr:cNvSpPr/>
      </xdr:nvSpPr>
      <xdr:spPr bwMode="auto">
        <a:xfrm>
          <a:off x="2678997" y="21229240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25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115411</xdr:colOff>
      <xdr:row>80</xdr:row>
      <xdr:rowOff>143611</xdr:rowOff>
    </xdr:from>
    <xdr:to>
      <xdr:col>8</xdr:col>
      <xdr:colOff>5443</xdr:colOff>
      <xdr:row>81</xdr:row>
      <xdr:rowOff>125558</xdr:rowOff>
    </xdr:to>
    <xdr:sp macro="" textlink="">
      <xdr:nvSpPr>
        <xdr:cNvPr id="248" name="Ромб 247">
          <a:extLst>
            <a:ext uri="{FF2B5EF4-FFF2-40B4-BE49-F238E27FC236}">
              <a16:creationId xmlns:a16="http://schemas.microsoft.com/office/drawing/2014/main" id="{35906D25-58BE-79B7-E57A-522C4F7B7E59}"/>
            </a:ext>
          </a:extLst>
        </xdr:cNvPr>
        <xdr:cNvSpPr/>
      </xdr:nvSpPr>
      <xdr:spPr bwMode="auto">
        <a:xfrm>
          <a:off x="2439511" y="21534040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27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55540</xdr:colOff>
      <xdr:row>77</xdr:row>
      <xdr:rowOff>170826</xdr:rowOff>
    </xdr:from>
    <xdr:to>
      <xdr:col>8</xdr:col>
      <xdr:colOff>277586</xdr:colOff>
      <xdr:row>78</xdr:row>
      <xdr:rowOff>152773</xdr:rowOff>
    </xdr:to>
    <xdr:sp macro="" textlink="">
      <xdr:nvSpPr>
        <xdr:cNvPr id="249" name="Ромб 248">
          <a:extLst>
            <a:ext uri="{FF2B5EF4-FFF2-40B4-BE49-F238E27FC236}">
              <a16:creationId xmlns:a16="http://schemas.microsoft.com/office/drawing/2014/main" id="{F038B68C-AE85-5F8F-A602-3792A57F9234}"/>
            </a:ext>
          </a:extLst>
        </xdr:cNvPr>
        <xdr:cNvSpPr/>
      </xdr:nvSpPr>
      <xdr:spPr bwMode="auto">
        <a:xfrm>
          <a:off x="2711654" y="20989755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24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60983</xdr:colOff>
      <xdr:row>78</xdr:row>
      <xdr:rowOff>94626</xdr:rowOff>
    </xdr:from>
    <xdr:to>
      <xdr:col>7</xdr:col>
      <xdr:colOff>283029</xdr:colOff>
      <xdr:row>79</xdr:row>
      <xdr:rowOff>76573</xdr:rowOff>
    </xdr:to>
    <xdr:sp macro="" textlink="">
      <xdr:nvSpPr>
        <xdr:cNvPr id="250" name="Ромб 249">
          <a:extLst>
            <a:ext uri="{FF2B5EF4-FFF2-40B4-BE49-F238E27FC236}">
              <a16:creationId xmlns:a16="http://schemas.microsoft.com/office/drawing/2014/main" id="{610B9BDE-7441-BAE1-7F68-82621BE2D4A4}"/>
            </a:ext>
          </a:extLst>
        </xdr:cNvPr>
        <xdr:cNvSpPr/>
      </xdr:nvSpPr>
      <xdr:spPr bwMode="auto">
        <a:xfrm>
          <a:off x="2385083" y="21104055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26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180725</xdr:colOff>
      <xdr:row>77</xdr:row>
      <xdr:rowOff>67413</xdr:rowOff>
    </xdr:from>
    <xdr:to>
      <xdr:col>7</xdr:col>
      <xdr:colOff>70757</xdr:colOff>
      <xdr:row>78</xdr:row>
      <xdr:rowOff>49360</xdr:rowOff>
    </xdr:to>
    <xdr:sp macro="" textlink="">
      <xdr:nvSpPr>
        <xdr:cNvPr id="251" name="Ромб 250">
          <a:extLst>
            <a:ext uri="{FF2B5EF4-FFF2-40B4-BE49-F238E27FC236}">
              <a16:creationId xmlns:a16="http://schemas.microsoft.com/office/drawing/2014/main" id="{63E64EF8-4E35-49A0-C80D-61A59872AF4C}"/>
            </a:ext>
          </a:extLst>
        </xdr:cNvPr>
        <xdr:cNvSpPr/>
      </xdr:nvSpPr>
      <xdr:spPr bwMode="auto">
        <a:xfrm>
          <a:off x="2172811" y="20886342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28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99083</xdr:colOff>
      <xdr:row>76</xdr:row>
      <xdr:rowOff>51084</xdr:rowOff>
    </xdr:from>
    <xdr:to>
      <xdr:col>7</xdr:col>
      <xdr:colOff>321129</xdr:colOff>
      <xdr:row>77</xdr:row>
      <xdr:rowOff>33031</xdr:rowOff>
    </xdr:to>
    <xdr:sp macro="" textlink="">
      <xdr:nvSpPr>
        <xdr:cNvPr id="252" name="Ромб 251">
          <a:extLst>
            <a:ext uri="{FF2B5EF4-FFF2-40B4-BE49-F238E27FC236}">
              <a16:creationId xmlns:a16="http://schemas.microsoft.com/office/drawing/2014/main" id="{63DCADE5-7334-498C-5DEE-8387658B6C75}"/>
            </a:ext>
          </a:extLst>
        </xdr:cNvPr>
        <xdr:cNvSpPr/>
      </xdr:nvSpPr>
      <xdr:spPr bwMode="auto">
        <a:xfrm>
          <a:off x="2423183" y="20679513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29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240598</xdr:colOff>
      <xdr:row>78</xdr:row>
      <xdr:rowOff>105512</xdr:rowOff>
    </xdr:from>
    <xdr:to>
      <xdr:col>5</xdr:col>
      <xdr:colOff>130630</xdr:colOff>
      <xdr:row>79</xdr:row>
      <xdr:rowOff>87459</xdr:rowOff>
    </xdr:to>
    <xdr:sp macro="" textlink="">
      <xdr:nvSpPr>
        <xdr:cNvPr id="253" name="Ромб 252">
          <a:extLst>
            <a:ext uri="{FF2B5EF4-FFF2-40B4-BE49-F238E27FC236}">
              <a16:creationId xmlns:a16="http://schemas.microsoft.com/office/drawing/2014/main" id="{795FDD24-DD2F-9A1E-5F44-AB72E57EC1A4}"/>
            </a:ext>
          </a:extLst>
        </xdr:cNvPr>
        <xdr:cNvSpPr/>
      </xdr:nvSpPr>
      <xdr:spPr bwMode="auto">
        <a:xfrm>
          <a:off x="1568655" y="21114941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35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207941</xdr:colOff>
      <xdr:row>76</xdr:row>
      <xdr:rowOff>83742</xdr:rowOff>
    </xdr:from>
    <xdr:to>
      <xdr:col>6</xdr:col>
      <xdr:colOff>97972</xdr:colOff>
      <xdr:row>77</xdr:row>
      <xdr:rowOff>54429</xdr:rowOff>
    </xdr:to>
    <xdr:sp macro="" textlink="">
      <xdr:nvSpPr>
        <xdr:cNvPr id="254" name="Ромб 253">
          <a:extLst>
            <a:ext uri="{FF2B5EF4-FFF2-40B4-BE49-F238E27FC236}">
              <a16:creationId xmlns:a16="http://schemas.microsoft.com/office/drawing/2014/main" id="{787BF884-AD26-575D-4ED8-2146224BD081}"/>
            </a:ext>
          </a:extLst>
        </xdr:cNvPr>
        <xdr:cNvSpPr/>
      </xdr:nvSpPr>
      <xdr:spPr bwMode="auto">
        <a:xfrm>
          <a:off x="1868012" y="20712171"/>
          <a:ext cx="222046" cy="16118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31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39211</xdr:colOff>
      <xdr:row>74</xdr:row>
      <xdr:rowOff>34755</xdr:rowOff>
    </xdr:from>
    <xdr:to>
      <xdr:col>6</xdr:col>
      <xdr:colOff>261257</xdr:colOff>
      <xdr:row>75</xdr:row>
      <xdr:rowOff>16702</xdr:rowOff>
    </xdr:to>
    <xdr:sp macro="" textlink="">
      <xdr:nvSpPr>
        <xdr:cNvPr id="255" name="Ромб 254">
          <a:extLst>
            <a:ext uri="{FF2B5EF4-FFF2-40B4-BE49-F238E27FC236}">
              <a16:creationId xmlns:a16="http://schemas.microsoft.com/office/drawing/2014/main" id="{44544097-2818-144A-5354-54C948FCB7BA}"/>
            </a:ext>
          </a:extLst>
        </xdr:cNvPr>
        <xdr:cNvSpPr/>
      </xdr:nvSpPr>
      <xdr:spPr bwMode="auto">
        <a:xfrm>
          <a:off x="2031297" y="20282184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30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240597</xdr:colOff>
      <xdr:row>74</xdr:row>
      <xdr:rowOff>187155</xdr:rowOff>
    </xdr:from>
    <xdr:to>
      <xdr:col>5</xdr:col>
      <xdr:colOff>130629</xdr:colOff>
      <xdr:row>75</xdr:row>
      <xdr:rowOff>169102</xdr:rowOff>
    </xdr:to>
    <xdr:sp macro="" textlink="">
      <xdr:nvSpPr>
        <xdr:cNvPr id="256" name="Ромб 255">
          <a:extLst>
            <a:ext uri="{FF2B5EF4-FFF2-40B4-BE49-F238E27FC236}">
              <a16:creationId xmlns:a16="http://schemas.microsoft.com/office/drawing/2014/main" id="{4572568F-9057-FDF3-F4E7-3DF5955AA8FC}"/>
            </a:ext>
          </a:extLst>
        </xdr:cNvPr>
        <xdr:cNvSpPr/>
      </xdr:nvSpPr>
      <xdr:spPr bwMode="auto">
        <a:xfrm>
          <a:off x="1568654" y="20434584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32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11997</xdr:colOff>
      <xdr:row>75</xdr:row>
      <xdr:rowOff>100069</xdr:rowOff>
    </xdr:from>
    <xdr:to>
      <xdr:col>4</xdr:col>
      <xdr:colOff>234043</xdr:colOff>
      <xdr:row>76</xdr:row>
      <xdr:rowOff>82016</xdr:rowOff>
    </xdr:to>
    <xdr:sp macro="" textlink="">
      <xdr:nvSpPr>
        <xdr:cNvPr id="257" name="Ромб 256">
          <a:extLst>
            <a:ext uri="{FF2B5EF4-FFF2-40B4-BE49-F238E27FC236}">
              <a16:creationId xmlns:a16="http://schemas.microsoft.com/office/drawing/2014/main" id="{A7B01072-0EC1-CF48-3E0A-9568CF13D9F5}"/>
            </a:ext>
          </a:extLst>
        </xdr:cNvPr>
        <xdr:cNvSpPr/>
      </xdr:nvSpPr>
      <xdr:spPr bwMode="auto">
        <a:xfrm>
          <a:off x="1340054" y="20537998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33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131740</xdr:colOff>
      <xdr:row>76</xdr:row>
      <xdr:rowOff>176269</xdr:rowOff>
    </xdr:from>
    <xdr:to>
      <xdr:col>5</xdr:col>
      <xdr:colOff>21772</xdr:colOff>
      <xdr:row>77</xdr:row>
      <xdr:rowOff>158216</xdr:rowOff>
    </xdr:to>
    <xdr:sp macro="" textlink="">
      <xdr:nvSpPr>
        <xdr:cNvPr id="258" name="Ромб 257">
          <a:extLst>
            <a:ext uri="{FF2B5EF4-FFF2-40B4-BE49-F238E27FC236}">
              <a16:creationId xmlns:a16="http://schemas.microsoft.com/office/drawing/2014/main" id="{98A5C157-FECB-6A80-8234-54FF1EB9494C}"/>
            </a:ext>
          </a:extLst>
        </xdr:cNvPr>
        <xdr:cNvSpPr/>
      </xdr:nvSpPr>
      <xdr:spPr bwMode="auto">
        <a:xfrm>
          <a:off x="1459797" y="20804698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34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262369</xdr:colOff>
      <xdr:row>79</xdr:row>
      <xdr:rowOff>181712</xdr:rowOff>
    </xdr:from>
    <xdr:to>
      <xdr:col>4</xdr:col>
      <xdr:colOff>152401</xdr:colOff>
      <xdr:row>80</xdr:row>
      <xdr:rowOff>163659</xdr:rowOff>
    </xdr:to>
    <xdr:sp macro="" textlink="">
      <xdr:nvSpPr>
        <xdr:cNvPr id="259" name="Ромб 258">
          <a:extLst>
            <a:ext uri="{FF2B5EF4-FFF2-40B4-BE49-F238E27FC236}">
              <a16:creationId xmlns:a16="http://schemas.microsoft.com/office/drawing/2014/main" id="{557CA937-8FA8-8CB3-235B-C4B2B8D6334D}"/>
            </a:ext>
          </a:extLst>
        </xdr:cNvPr>
        <xdr:cNvSpPr/>
      </xdr:nvSpPr>
      <xdr:spPr bwMode="auto">
        <a:xfrm>
          <a:off x="1258412" y="21381641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39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142625</xdr:colOff>
      <xdr:row>79</xdr:row>
      <xdr:rowOff>138169</xdr:rowOff>
    </xdr:from>
    <xdr:to>
      <xdr:col>7</xdr:col>
      <xdr:colOff>32657</xdr:colOff>
      <xdr:row>80</xdr:row>
      <xdr:rowOff>120116</xdr:rowOff>
    </xdr:to>
    <xdr:sp macro="" textlink="">
      <xdr:nvSpPr>
        <xdr:cNvPr id="260" name="Ромб 259">
          <a:extLst>
            <a:ext uri="{FF2B5EF4-FFF2-40B4-BE49-F238E27FC236}">
              <a16:creationId xmlns:a16="http://schemas.microsoft.com/office/drawing/2014/main" id="{855FC4EE-ACA7-9CCE-6244-4BC895AE3F6F}"/>
            </a:ext>
          </a:extLst>
        </xdr:cNvPr>
        <xdr:cNvSpPr/>
      </xdr:nvSpPr>
      <xdr:spPr bwMode="auto">
        <a:xfrm>
          <a:off x="2134711" y="21338098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37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93640</xdr:colOff>
      <xdr:row>79</xdr:row>
      <xdr:rowOff>143612</xdr:rowOff>
    </xdr:from>
    <xdr:to>
      <xdr:col>5</xdr:col>
      <xdr:colOff>315686</xdr:colOff>
      <xdr:row>80</xdr:row>
      <xdr:rowOff>125559</xdr:rowOff>
    </xdr:to>
    <xdr:sp macro="" textlink="">
      <xdr:nvSpPr>
        <xdr:cNvPr id="261" name="Ромб 260">
          <a:extLst>
            <a:ext uri="{FF2B5EF4-FFF2-40B4-BE49-F238E27FC236}">
              <a16:creationId xmlns:a16="http://schemas.microsoft.com/office/drawing/2014/main" id="{C34F3A49-2AD2-9DB8-2259-985D0D031F7A}"/>
            </a:ext>
          </a:extLst>
        </xdr:cNvPr>
        <xdr:cNvSpPr/>
      </xdr:nvSpPr>
      <xdr:spPr bwMode="auto">
        <a:xfrm>
          <a:off x="1753711" y="21343541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36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71868</xdr:colOff>
      <xdr:row>77</xdr:row>
      <xdr:rowOff>51084</xdr:rowOff>
    </xdr:from>
    <xdr:to>
      <xdr:col>3</xdr:col>
      <xdr:colOff>293914</xdr:colOff>
      <xdr:row>78</xdr:row>
      <xdr:rowOff>33031</xdr:rowOff>
    </xdr:to>
    <xdr:sp macro="" textlink="">
      <xdr:nvSpPr>
        <xdr:cNvPr id="262" name="Ромб 261">
          <a:extLst>
            <a:ext uri="{FF2B5EF4-FFF2-40B4-BE49-F238E27FC236}">
              <a16:creationId xmlns:a16="http://schemas.microsoft.com/office/drawing/2014/main" id="{0DCBBECF-34AC-852F-CD6E-050F20380393}"/>
            </a:ext>
          </a:extLst>
        </xdr:cNvPr>
        <xdr:cNvSpPr/>
      </xdr:nvSpPr>
      <xdr:spPr bwMode="auto">
        <a:xfrm>
          <a:off x="1067911" y="20870013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38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191610</xdr:colOff>
      <xdr:row>79</xdr:row>
      <xdr:rowOff>72855</xdr:rowOff>
    </xdr:from>
    <xdr:to>
      <xdr:col>3</xdr:col>
      <xdr:colOff>81642</xdr:colOff>
      <xdr:row>80</xdr:row>
      <xdr:rowOff>54802</xdr:rowOff>
    </xdr:to>
    <xdr:sp macro="" textlink="">
      <xdr:nvSpPr>
        <xdr:cNvPr id="263" name="Ромб 262">
          <a:extLst>
            <a:ext uri="{FF2B5EF4-FFF2-40B4-BE49-F238E27FC236}">
              <a16:creationId xmlns:a16="http://schemas.microsoft.com/office/drawing/2014/main" id="{FB4EC388-4FBF-2709-5863-0019D13CD3C0}"/>
            </a:ext>
          </a:extLst>
        </xdr:cNvPr>
        <xdr:cNvSpPr/>
      </xdr:nvSpPr>
      <xdr:spPr bwMode="auto">
        <a:xfrm>
          <a:off x="855639" y="21272784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40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267810</xdr:colOff>
      <xdr:row>81</xdr:row>
      <xdr:rowOff>56527</xdr:rowOff>
    </xdr:from>
    <xdr:to>
      <xdr:col>3</xdr:col>
      <xdr:colOff>157842</xdr:colOff>
      <xdr:row>82</xdr:row>
      <xdr:rowOff>38474</xdr:rowOff>
    </xdr:to>
    <xdr:sp macro="" textlink="">
      <xdr:nvSpPr>
        <xdr:cNvPr id="264" name="Ромб 263">
          <a:extLst>
            <a:ext uri="{FF2B5EF4-FFF2-40B4-BE49-F238E27FC236}">
              <a16:creationId xmlns:a16="http://schemas.microsoft.com/office/drawing/2014/main" id="{FD836BFE-77F2-CDC8-CC20-CA5814CB73E3}"/>
            </a:ext>
          </a:extLst>
        </xdr:cNvPr>
        <xdr:cNvSpPr/>
      </xdr:nvSpPr>
      <xdr:spPr bwMode="auto">
        <a:xfrm>
          <a:off x="931839" y="21637456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41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28325</xdr:colOff>
      <xdr:row>82</xdr:row>
      <xdr:rowOff>116398</xdr:rowOff>
    </xdr:from>
    <xdr:to>
      <xdr:col>4</xdr:col>
      <xdr:colOff>250371</xdr:colOff>
      <xdr:row>83</xdr:row>
      <xdr:rowOff>98345</xdr:rowOff>
    </xdr:to>
    <xdr:sp macro="" textlink="">
      <xdr:nvSpPr>
        <xdr:cNvPr id="267" name="Ромб 266">
          <a:extLst>
            <a:ext uri="{FF2B5EF4-FFF2-40B4-BE49-F238E27FC236}">
              <a16:creationId xmlns:a16="http://schemas.microsoft.com/office/drawing/2014/main" id="{00C2717B-A13B-8FC8-C54B-DB110480FFAD}"/>
            </a:ext>
          </a:extLst>
        </xdr:cNvPr>
        <xdr:cNvSpPr/>
      </xdr:nvSpPr>
      <xdr:spPr bwMode="auto">
        <a:xfrm>
          <a:off x="1356382" y="21887827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42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39211</xdr:colOff>
      <xdr:row>81</xdr:row>
      <xdr:rowOff>121841</xdr:rowOff>
    </xdr:from>
    <xdr:to>
      <xdr:col>5</xdr:col>
      <xdr:colOff>261257</xdr:colOff>
      <xdr:row>82</xdr:row>
      <xdr:rowOff>103788</xdr:rowOff>
    </xdr:to>
    <xdr:sp macro="" textlink="">
      <xdr:nvSpPr>
        <xdr:cNvPr id="268" name="Ромб 267">
          <a:extLst>
            <a:ext uri="{FF2B5EF4-FFF2-40B4-BE49-F238E27FC236}">
              <a16:creationId xmlns:a16="http://schemas.microsoft.com/office/drawing/2014/main" id="{D5F15F0A-79A5-23A3-EB67-AEBA0B2F5F26}"/>
            </a:ext>
          </a:extLst>
        </xdr:cNvPr>
        <xdr:cNvSpPr/>
      </xdr:nvSpPr>
      <xdr:spPr bwMode="auto">
        <a:xfrm>
          <a:off x="1699282" y="21702770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43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93639</xdr:colOff>
      <xdr:row>82</xdr:row>
      <xdr:rowOff>154498</xdr:rowOff>
    </xdr:from>
    <xdr:to>
      <xdr:col>6</xdr:col>
      <xdr:colOff>315685</xdr:colOff>
      <xdr:row>83</xdr:row>
      <xdr:rowOff>136445</xdr:rowOff>
    </xdr:to>
    <xdr:sp macro="" textlink="">
      <xdr:nvSpPr>
        <xdr:cNvPr id="269" name="Ромб 268">
          <a:extLst>
            <a:ext uri="{FF2B5EF4-FFF2-40B4-BE49-F238E27FC236}">
              <a16:creationId xmlns:a16="http://schemas.microsoft.com/office/drawing/2014/main" id="{BF6FFA96-D274-641E-07A6-6D94201C7507}"/>
            </a:ext>
          </a:extLst>
        </xdr:cNvPr>
        <xdr:cNvSpPr/>
      </xdr:nvSpPr>
      <xdr:spPr bwMode="auto">
        <a:xfrm>
          <a:off x="2085725" y="21925927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45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1111</xdr:colOff>
      <xdr:row>83</xdr:row>
      <xdr:rowOff>181712</xdr:rowOff>
    </xdr:from>
    <xdr:to>
      <xdr:col>5</xdr:col>
      <xdr:colOff>223157</xdr:colOff>
      <xdr:row>84</xdr:row>
      <xdr:rowOff>163659</xdr:rowOff>
    </xdr:to>
    <xdr:sp macro="" textlink="">
      <xdr:nvSpPr>
        <xdr:cNvPr id="272" name="Ромб 271">
          <a:extLst>
            <a:ext uri="{FF2B5EF4-FFF2-40B4-BE49-F238E27FC236}">
              <a16:creationId xmlns:a16="http://schemas.microsoft.com/office/drawing/2014/main" id="{681E2D88-ED3D-9506-E454-18FE3B0E6B7F}"/>
            </a:ext>
          </a:extLst>
        </xdr:cNvPr>
        <xdr:cNvSpPr/>
      </xdr:nvSpPr>
      <xdr:spPr bwMode="auto">
        <a:xfrm>
          <a:off x="1661182" y="22143641"/>
          <a:ext cx="222046" cy="172447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44</a:t>
          </a:r>
          <a:endParaRPr lang="en-US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18319</xdr:colOff>
      <xdr:row>81</xdr:row>
      <xdr:rowOff>43533</xdr:rowOff>
    </xdr:from>
    <xdr:to>
      <xdr:col>8</xdr:col>
      <xdr:colOff>250372</xdr:colOff>
      <xdr:row>82</xdr:row>
      <xdr:rowOff>34533</xdr:rowOff>
    </xdr:to>
    <xdr:cxnSp macro="">
      <xdr:nvCxnSpPr>
        <xdr:cNvPr id="273" name="Прямая соединительная линия 272">
          <a:extLst>
            <a:ext uri="{FF2B5EF4-FFF2-40B4-BE49-F238E27FC236}">
              <a16:creationId xmlns:a16="http://schemas.microsoft.com/office/drawing/2014/main" id="{0B732629-7F3B-1756-9A1A-09988E9DA625}"/>
            </a:ext>
          </a:extLst>
        </xdr:cNvPr>
        <xdr:cNvCxnSpPr/>
      </xdr:nvCxnSpPr>
      <xdr:spPr bwMode="auto">
        <a:xfrm>
          <a:off x="2674433" y="21624462"/>
          <a:ext cx="232053" cy="181500"/>
        </a:xfrm>
        <a:prstGeom prst="line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228876</xdr:colOff>
      <xdr:row>81</xdr:row>
      <xdr:rowOff>121762</xdr:rowOff>
    </xdr:from>
    <xdr:to>
      <xdr:col>9</xdr:col>
      <xdr:colOff>162876</xdr:colOff>
      <xdr:row>83</xdr:row>
      <xdr:rowOff>38668</xdr:rowOff>
    </xdr:to>
    <xdr:sp macro="" textlink="">
      <xdr:nvSpPr>
        <xdr:cNvPr id="274" name="Овал 273">
          <a:extLst>
            <a:ext uri="{FF2B5EF4-FFF2-40B4-BE49-F238E27FC236}">
              <a16:creationId xmlns:a16="http://schemas.microsoft.com/office/drawing/2014/main" id="{349CB448-F607-7EAE-4198-61F9ADCF36AB}"/>
            </a:ext>
          </a:extLst>
        </xdr:cNvPr>
        <xdr:cNvSpPr/>
      </xdr:nvSpPr>
      <xdr:spPr bwMode="auto">
        <a:xfrm>
          <a:off x="2884990" y="21702691"/>
          <a:ext cx="266015" cy="297906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0" tIns="0" rIns="0" bIns="0" rtlCol="0" anchor="ctr" upright="1"/>
        <a:lstStyle/>
        <a:p>
          <a:pPr algn="ctr"/>
          <a:r>
            <a:rPr lang="ru-RU" sz="1200">
              <a:latin typeface="Times New Roman" pitchFamily="18" charset="0"/>
              <a:cs typeface="Times New Roman" pitchFamily="18" charset="0"/>
            </a:rPr>
            <a:t>16</a:t>
          </a:r>
        </a:p>
      </xdr:txBody>
    </xdr:sp>
    <xdr:clientData/>
  </xdr:twoCellAnchor>
  <xdr:twoCellAnchor>
    <xdr:from>
      <xdr:col>16</xdr:col>
      <xdr:colOff>180975</xdr:colOff>
      <xdr:row>72</xdr:row>
      <xdr:rowOff>9525</xdr:rowOff>
    </xdr:from>
    <xdr:to>
      <xdr:col>17</xdr:col>
      <xdr:colOff>243241</xdr:colOff>
      <xdr:row>75</xdr:row>
      <xdr:rowOff>11362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D8E09B61-2201-427B-B99C-1D18D2739AB7}"/>
            </a:ext>
          </a:extLst>
        </xdr:cNvPr>
        <xdr:cNvGrpSpPr/>
      </xdr:nvGrpSpPr>
      <xdr:grpSpPr>
        <a:xfrm>
          <a:off x="6011932" y="19788395"/>
          <a:ext cx="426700" cy="573337"/>
          <a:chOff x="5652465" y="20141648"/>
          <a:chExt cx="424216" cy="573337"/>
        </a:xfrm>
      </xdr:grpSpPr>
      <xdr:cxnSp macro="">
        <xdr:nvCxnSpPr>
          <xdr:cNvPr id="7" name="Прямая соединительная линия 6">
            <a:extLst>
              <a:ext uri="{FF2B5EF4-FFF2-40B4-BE49-F238E27FC236}">
                <a16:creationId xmlns:a16="http://schemas.microsoft.com/office/drawing/2014/main" id="{93098939-D173-8E44-005C-B06BA421B476}"/>
              </a:ext>
            </a:extLst>
          </xdr:cNvPr>
          <xdr:cNvCxnSpPr/>
        </xdr:nvCxnSpPr>
        <xdr:spPr bwMode="auto">
          <a:xfrm>
            <a:off x="5652465" y="20141648"/>
            <a:ext cx="3073" cy="550380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rgbClr val="000000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4" name="Прямая соединительная линия 13">
            <a:extLst>
              <a:ext uri="{FF2B5EF4-FFF2-40B4-BE49-F238E27FC236}">
                <a16:creationId xmlns:a16="http://schemas.microsoft.com/office/drawing/2014/main" id="{18181AF9-D4A4-B260-D0C0-8E148082F95E}"/>
              </a:ext>
            </a:extLst>
          </xdr:cNvPr>
          <xdr:cNvCxnSpPr/>
        </xdr:nvCxnSpPr>
        <xdr:spPr bwMode="auto">
          <a:xfrm>
            <a:off x="5688721" y="20682810"/>
            <a:ext cx="368095" cy="1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rgbClr val="000000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5" name="Прямая соединительная линия 14">
            <a:extLst>
              <a:ext uri="{FF2B5EF4-FFF2-40B4-BE49-F238E27FC236}">
                <a16:creationId xmlns:a16="http://schemas.microsoft.com/office/drawing/2014/main" id="{145148E9-8B63-812D-9AF1-29ECB70AA173}"/>
              </a:ext>
            </a:extLst>
          </xdr:cNvPr>
          <xdr:cNvCxnSpPr/>
        </xdr:nvCxnSpPr>
        <xdr:spPr bwMode="auto">
          <a:xfrm>
            <a:off x="6073608" y="20166259"/>
            <a:ext cx="3073" cy="548726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rgbClr val="000000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6" name="Прямая соединительная линия 15">
            <a:extLst>
              <a:ext uri="{FF2B5EF4-FFF2-40B4-BE49-F238E27FC236}">
                <a16:creationId xmlns:a16="http://schemas.microsoft.com/office/drawing/2014/main" id="{681755E5-562F-6438-242E-27381ED93BB1}"/>
              </a:ext>
            </a:extLst>
          </xdr:cNvPr>
          <xdr:cNvCxnSpPr/>
        </xdr:nvCxnSpPr>
        <xdr:spPr bwMode="auto">
          <a:xfrm>
            <a:off x="5660748" y="20160350"/>
            <a:ext cx="395134" cy="1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rgbClr val="000000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0</xdr:col>
      <xdr:colOff>304800</xdr:colOff>
      <xdr:row>71</xdr:row>
      <xdr:rowOff>180975</xdr:rowOff>
    </xdr:from>
    <xdr:to>
      <xdr:col>6</xdr:col>
      <xdr:colOff>104775</xdr:colOff>
      <xdr:row>75</xdr:row>
      <xdr:rowOff>123825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8EA50E8B-F5BA-CA08-1CE0-1E6A9A8DB735}"/>
            </a:ext>
          </a:extLst>
        </xdr:cNvPr>
        <xdr:cNvCxnSpPr/>
      </xdr:nvCxnSpPr>
      <xdr:spPr bwMode="auto">
        <a:xfrm flipH="1">
          <a:off x="304800" y="19812000"/>
          <a:ext cx="1800225" cy="704850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123825</xdr:colOff>
      <xdr:row>71</xdr:row>
      <xdr:rowOff>180975</xdr:rowOff>
    </xdr:from>
    <xdr:to>
      <xdr:col>9</xdr:col>
      <xdr:colOff>247650</xdr:colOff>
      <xdr:row>85</xdr:row>
      <xdr:rowOff>161925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27F970A3-63A8-F83B-3985-ED5A28322262}"/>
            </a:ext>
          </a:extLst>
        </xdr:cNvPr>
        <xdr:cNvCxnSpPr/>
      </xdr:nvCxnSpPr>
      <xdr:spPr bwMode="auto">
        <a:xfrm>
          <a:off x="2124075" y="19812000"/>
          <a:ext cx="1123950" cy="2647950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238125</xdr:colOff>
      <xdr:row>85</xdr:row>
      <xdr:rowOff>152400</xdr:rowOff>
    </xdr:from>
    <xdr:to>
      <xdr:col>9</xdr:col>
      <xdr:colOff>247650</xdr:colOff>
      <xdr:row>86</xdr:row>
      <xdr:rowOff>114300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0B97F233-CACC-5795-C374-ACA956626D1B}"/>
            </a:ext>
          </a:extLst>
        </xdr:cNvPr>
        <xdr:cNvCxnSpPr/>
      </xdr:nvCxnSpPr>
      <xdr:spPr bwMode="auto">
        <a:xfrm flipH="1">
          <a:off x="2905125" y="22450425"/>
          <a:ext cx="342900" cy="152400"/>
        </a:xfrm>
        <a:prstGeom prst="line">
          <a:avLst/>
        </a:prstGeom>
        <a:solidFill>
          <a:srgbClr val="FFFFFF"/>
        </a:solidFill>
        <a:ln w="31750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293406</xdr:colOff>
      <xdr:row>91</xdr:row>
      <xdr:rowOff>9525</xdr:rowOff>
    </xdr:from>
    <xdr:to>
      <xdr:col>6</xdr:col>
      <xdr:colOff>92529</xdr:colOff>
      <xdr:row>91</xdr:row>
      <xdr:rowOff>185243</xdr:rowOff>
    </xdr:to>
    <xdr:sp macro="" textlink="">
      <xdr:nvSpPr>
        <xdr:cNvPr id="123" name="Прямоугольник 122">
          <a:extLst>
            <a:ext uri="{FF2B5EF4-FFF2-40B4-BE49-F238E27FC236}">
              <a16:creationId xmlns:a16="http://schemas.microsoft.com/office/drawing/2014/main" id="{103EA708-6F0A-8A27-0A64-DBB8605AEA74}"/>
            </a:ext>
          </a:extLst>
        </xdr:cNvPr>
        <xdr:cNvSpPr/>
      </xdr:nvSpPr>
      <xdr:spPr>
        <a:xfrm>
          <a:off x="1953477" y="23315839"/>
          <a:ext cx="131138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8</xdr:col>
      <xdr:colOff>43035</xdr:colOff>
      <xdr:row>86</xdr:row>
      <xdr:rowOff>25853</xdr:rowOff>
    </xdr:from>
    <xdr:to>
      <xdr:col>8</xdr:col>
      <xdr:colOff>174173</xdr:colOff>
      <xdr:row>87</xdr:row>
      <xdr:rowOff>11071</xdr:rowOff>
    </xdr:to>
    <xdr:sp macro="" textlink="">
      <xdr:nvSpPr>
        <xdr:cNvPr id="124" name="Прямоугольник 123">
          <a:extLst>
            <a:ext uri="{FF2B5EF4-FFF2-40B4-BE49-F238E27FC236}">
              <a16:creationId xmlns:a16="http://schemas.microsoft.com/office/drawing/2014/main" id="{2C8DDCA3-41BF-F241-AEA9-38D1CAFFD4BF}"/>
            </a:ext>
          </a:extLst>
        </xdr:cNvPr>
        <xdr:cNvSpPr/>
      </xdr:nvSpPr>
      <xdr:spPr>
        <a:xfrm>
          <a:off x="2699149" y="22379667"/>
          <a:ext cx="131138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7</xdr:col>
      <xdr:colOff>189992</xdr:colOff>
      <xdr:row>80</xdr:row>
      <xdr:rowOff>20411</xdr:rowOff>
    </xdr:from>
    <xdr:to>
      <xdr:col>7</xdr:col>
      <xdr:colOff>321130</xdr:colOff>
      <xdr:row>81</xdr:row>
      <xdr:rowOff>5629</xdr:rowOff>
    </xdr:to>
    <xdr:sp macro="" textlink="">
      <xdr:nvSpPr>
        <xdr:cNvPr id="142" name="Прямоугольник 141">
          <a:extLst>
            <a:ext uri="{FF2B5EF4-FFF2-40B4-BE49-F238E27FC236}">
              <a16:creationId xmlns:a16="http://schemas.microsoft.com/office/drawing/2014/main" id="{F8CD6EBD-648B-D80D-62F3-E3273A650A26}"/>
            </a:ext>
          </a:extLst>
        </xdr:cNvPr>
        <xdr:cNvSpPr/>
      </xdr:nvSpPr>
      <xdr:spPr>
        <a:xfrm>
          <a:off x="2514092" y="21231225"/>
          <a:ext cx="131138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4</xdr:col>
      <xdr:colOff>206320</xdr:colOff>
      <xdr:row>87</xdr:row>
      <xdr:rowOff>47625</xdr:rowOff>
    </xdr:from>
    <xdr:to>
      <xdr:col>5</xdr:col>
      <xdr:colOff>5444</xdr:colOff>
      <xdr:row>88</xdr:row>
      <xdr:rowOff>32843</xdr:rowOff>
    </xdr:to>
    <xdr:sp macro="" textlink="">
      <xdr:nvSpPr>
        <xdr:cNvPr id="145" name="Прямоугольник 144">
          <a:extLst>
            <a:ext uri="{FF2B5EF4-FFF2-40B4-BE49-F238E27FC236}">
              <a16:creationId xmlns:a16="http://schemas.microsoft.com/office/drawing/2014/main" id="{C1AA1414-08FA-DBF5-4243-911F8FBBA3BF}"/>
            </a:ext>
          </a:extLst>
        </xdr:cNvPr>
        <xdr:cNvSpPr/>
      </xdr:nvSpPr>
      <xdr:spPr>
        <a:xfrm>
          <a:off x="1534377" y="22591939"/>
          <a:ext cx="131138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2</xdr:col>
      <xdr:colOff>168220</xdr:colOff>
      <xdr:row>81</xdr:row>
      <xdr:rowOff>102053</xdr:rowOff>
    </xdr:from>
    <xdr:to>
      <xdr:col>2</xdr:col>
      <xdr:colOff>299358</xdr:colOff>
      <xdr:row>82</xdr:row>
      <xdr:rowOff>87271</xdr:rowOff>
    </xdr:to>
    <xdr:sp macro="" textlink="">
      <xdr:nvSpPr>
        <xdr:cNvPr id="147" name="Прямоугольник 146">
          <a:extLst>
            <a:ext uri="{FF2B5EF4-FFF2-40B4-BE49-F238E27FC236}">
              <a16:creationId xmlns:a16="http://schemas.microsoft.com/office/drawing/2014/main" id="{08ACD22F-7CBF-AFB7-D8F1-97BD6879E1C1}"/>
            </a:ext>
          </a:extLst>
        </xdr:cNvPr>
        <xdr:cNvSpPr/>
      </xdr:nvSpPr>
      <xdr:spPr>
        <a:xfrm>
          <a:off x="832249" y="21503367"/>
          <a:ext cx="131138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xdr:txBody>
    </xdr:sp>
    <xdr:clientData/>
  </xdr:twoCellAnchor>
  <xdr:twoCellAnchor>
    <xdr:from>
      <xdr:col>2</xdr:col>
      <xdr:colOff>189992</xdr:colOff>
      <xdr:row>77</xdr:row>
      <xdr:rowOff>107496</xdr:rowOff>
    </xdr:from>
    <xdr:to>
      <xdr:col>2</xdr:col>
      <xdr:colOff>321130</xdr:colOff>
      <xdr:row>78</xdr:row>
      <xdr:rowOff>92714</xdr:rowOff>
    </xdr:to>
    <xdr:sp macro="" textlink="">
      <xdr:nvSpPr>
        <xdr:cNvPr id="149" name="Прямоугольник 148">
          <a:extLst>
            <a:ext uri="{FF2B5EF4-FFF2-40B4-BE49-F238E27FC236}">
              <a16:creationId xmlns:a16="http://schemas.microsoft.com/office/drawing/2014/main" id="{3F7A0914-7B65-7CCE-6B01-6D16C2B65C0F}"/>
            </a:ext>
          </a:extLst>
        </xdr:cNvPr>
        <xdr:cNvSpPr/>
      </xdr:nvSpPr>
      <xdr:spPr>
        <a:xfrm>
          <a:off x="854021" y="20746810"/>
          <a:ext cx="131138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9</a:t>
          </a:r>
        </a:p>
      </xdr:txBody>
    </xdr:sp>
    <xdr:clientData/>
  </xdr:twoCellAnchor>
  <xdr:twoCellAnchor>
    <xdr:from>
      <xdr:col>3</xdr:col>
      <xdr:colOff>119234</xdr:colOff>
      <xdr:row>74</xdr:row>
      <xdr:rowOff>14967</xdr:rowOff>
    </xdr:from>
    <xdr:to>
      <xdr:col>3</xdr:col>
      <xdr:colOff>293913</xdr:colOff>
      <xdr:row>75</xdr:row>
      <xdr:rowOff>185</xdr:rowOff>
    </xdr:to>
    <xdr:sp macro="" textlink="">
      <xdr:nvSpPr>
        <xdr:cNvPr id="151" name="Прямоугольник 150">
          <a:extLst>
            <a:ext uri="{FF2B5EF4-FFF2-40B4-BE49-F238E27FC236}">
              <a16:creationId xmlns:a16="http://schemas.microsoft.com/office/drawing/2014/main" id="{84937115-9DE6-EF13-D400-19304C760E55}"/>
            </a:ext>
          </a:extLst>
        </xdr:cNvPr>
        <xdr:cNvSpPr/>
      </xdr:nvSpPr>
      <xdr:spPr>
        <a:xfrm>
          <a:off x="1115277" y="20082781"/>
          <a:ext cx="174679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xdr:txBody>
    </xdr:sp>
    <xdr:clientData/>
  </xdr:twoCellAnchor>
  <xdr:twoCellAnchor>
    <xdr:from>
      <xdr:col>5</xdr:col>
      <xdr:colOff>304292</xdr:colOff>
      <xdr:row>74</xdr:row>
      <xdr:rowOff>151039</xdr:rowOff>
    </xdr:from>
    <xdr:to>
      <xdr:col>6</xdr:col>
      <xdr:colOff>146956</xdr:colOff>
      <xdr:row>75</xdr:row>
      <xdr:rowOff>136257</xdr:rowOff>
    </xdr:to>
    <xdr:sp macro="" textlink="">
      <xdr:nvSpPr>
        <xdr:cNvPr id="153" name="Прямоугольник 152">
          <a:extLst>
            <a:ext uri="{FF2B5EF4-FFF2-40B4-BE49-F238E27FC236}">
              <a16:creationId xmlns:a16="http://schemas.microsoft.com/office/drawing/2014/main" id="{AF2A205D-1F45-C4EB-58FA-40F9CB337150}"/>
            </a:ext>
          </a:extLst>
        </xdr:cNvPr>
        <xdr:cNvSpPr/>
      </xdr:nvSpPr>
      <xdr:spPr>
        <a:xfrm>
          <a:off x="1964363" y="20218853"/>
          <a:ext cx="174679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1</xdr:col>
      <xdr:colOff>121460</xdr:colOff>
      <xdr:row>75</xdr:row>
      <xdr:rowOff>68822</xdr:rowOff>
    </xdr:from>
    <xdr:to>
      <xdr:col>2</xdr:col>
      <xdr:colOff>52598</xdr:colOff>
      <xdr:row>76</xdr:row>
      <xdr:rowOff>154515</xdr:rowOff>
    </xdr:to>
    <xdr:sp macro="" textlink="">
      <xdr:nvSpPr>
        <xdr:cNvPr id="155" name="Ромб 154">
          <a:extLst>
            <a:ext uri="{FF2B5EF4-FFF2-40B4-BE49-F238E27FC236}">
              <a16:creationId xmlns:a16="http://schemas.microsoft.com/office/drawing/2014/main" id="{727621CC-AF03-EA9E-1518-766BBD2880DF}"/>
            </a:ext>
          </a:extLst>
        </xdr:cNvPr>
        <xdr:cNvSpPr/>
      </xdr:nvSpPr>
      <xdr:spPr bwMode="auto">
        <a:xfrm>
          <a:off x="453474" y="2032713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8</a:t>
          </a:r>
        </a:p>
      </xdr:txBody>
    </xdr:sp>
    <xdr:clientData/>
  </xdr:twoCellAnchor>
  <xdr:twoCellAnchor>
    <xdr:from>
      <xdr:col>2</xdr:col>
      <xdr:colOff>317402</xdr:colOff>
      <xdr:row>75</xdr:row>
      <xdr:rowOff>183122</xdr:rowOff>
    </xdr:from>
    <xdr:to>
      <xdr:col>3</xdr:col>
      <xdr:colOff>248541</xdr:colOff>
      <xdr:row>77</xdr:row>
      <xdr:rowOff>78315</xdr:rowOff>
    </xdr:to>
    <xdr:sp macro="" textlink="">
      <xdr:nvSpPr>
        <xdr:cNvPr id="171" name="Ромб 170">
          <a:extLst>
            <a:ext uri="{FF2B5EF4-FFF2-40B4-BE49-F238E27FC236}">
              <a16:creationId xmlns:a16="http://schemas.microsoft.com/office/drawing/2014/main" id="{2BFD8C87-811E-CA50-E228-B5E03756D834}"/>
            </a:ext>
          </a:extLst>
        </xdr:cNvPr>
        <xdr:cNvSpPr/>
      </xdr:nvSpPr>
      <xdr:spPr bwMode="auto">
        <a:xfrm>
          <a:off x="981431" y="2044143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7</a:t>
          </a:r>
        </a:p>
      </xdr:txBody>
    </xdr:sp>
    <xdr:clientData/>
  </xdr:twoCellAnchor>
  <xdr:twoCellAnchor>
    <xdr:from>
      <xdr:col>4</xdr:col>
      <xdr:colOff>284745</xdr:colOff>
      <xdr:row>75</xdr:row>
      <xdr:rowOff>128693</xdr:rowOff>
    </xdr:from>
    <xdr:to>
      <xdr:col>5</xdr:col>
      <xdr:colOff>215884</xdr:colOff>
      <xdr:row>77</xdr:row>
      <xdr:rowOff>23886</xdr:rowOff>
    </xdr:to>
    <xdr:sp macro="" textlink="">
      <xdr:nvSpPr>
        <xdr:cNvPr id="174" name="Ромб 173">
          <a:extLst>
            <a:ext uri="{FF2B5EF4-FFF2-40B4-BE49-F238E27FC236}">
              <a16:creationId xmlns:a16="http://schemas.microsoft.com/office/drawing/2014/main" id="{C7EDC184-1CAD-D7D9-949F-54368D4E0FEF}"/>
            </a:ext>
          </a:extLst>
        </xdr:cNvPr>
        <xdr:cNvSpPr/>
      </xdr:nvSpPr>
      <xdr:spPr bwMode="auto">
        <a:xfrm>
          <a:off x="1612802" y="2038700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5</a:t>
          </a:r>
        </a:p>
      </xdr:txBody>
    </xdr:sp>
    <xdr:clientData/>
  </xdr:twoCellAnchor>
  <xdr:twoCellAnchor>
    <xdr:from>
      <xdr:col>5</xdr:col>
      <xdr:colOff>132345</xdr:colOff>
      <xdr:row>72</xdr:row>
      <xdr:rowOff>30722</xdr:rowOff>
    </xdr:from>
    <xdr:to>
      <xdr:col>6</xdr:col>
      <xdr:colOff>63483</xdr:colOff>
      <xdr:row>73</xdr:row>
      <xdr:rowOff>116415</xdr:rowOff>
    </xdr:to>
    <xdr:sp macro="" textlink="">
      <xdr:nvSpPr>
        <xdr:cNvPr id="178" name="Ромб 177">
          <a:extLst>
            <a:ext uri="{FF2B5EF4-FFF2-40B4-BE49-F238E27FC236}">
              <a16:creationId xmlns:a16="http://schemas.microsoft.com/office/drawing/2014/main" id="{607DED8D-426F-E68F-F03C-319A095383DB}"/>
            </a:ext>
          </a:extLst>
        </xdr:cNvPr>
        <xdr:cNvSpPr/>
      </xdr:nvSpPr>
      <xdr:spPr bwMode="auto">
        <a:xfrm>
          <a:off x="1792416" y="1971753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6</a:t>
          </a:r>
        </a:p>
      </xdr:txBody>
    </xdr:sp>
    <xdr:clientData/>
  </xdr:twoCellAnchor>
  <xdr:twoCellAnchor>
    <xdr:from>
      <xdr:col>6</xdr:col>
      <xdr:colOff>241201</xdr:colOff>
      <xdr:row>75</xdr:row>
      <xdr:rowOff>112365</xdr:rowOff>
    </xdr:from>
    <xdr:to>
      <xdr:col>7</xdr:col>
      <xdr:colOff>172340</xdr:colOff>
      <xdr:row>77</xdr:row>
      <xdr:rowOff>7558</xdr:rowOff>
    </xdr:to>
    <xdr:sp macro="" textlink="">
      <xdr:nvSpPr>
        <xdr:cNvPr id="179" name="Ромб 178">
          <a:extLst>
            <a:ext uri="{FF2B5EF4-FFF2-40B4-BE49-F238E27FC236}">
              <a16:creationId xmlns:a16="http://schemas.microsoft.com/office/drawing/2014/main" id="{1F8CA166-2665-20EA-CB31-B15AF043C647}"/>
            </a:ext>
          </a:extLst>
        </xdr:cNvPr>
        <xdr:cNvSpPr/>
      </xdr:nvSpPr>
      <xdr:spPr bwMode="auto">
        <a:xfrm>
          <a:off x="2233287" y="2037067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4</a:t>
          </a:r>
        </a:p>
      </xdr:txBody>
    </xdr:sp>
    <xdr:clientData/>
  </xdr:twoCellAnchor>
  <xdr:twoCellAnchor>
    <xdr:from>
      <xdr:col>7</xdr:col>
      <xdr:colOff>279301</xdr:colOff>
      <xdr:row>81</xdr:row>
      <xdr:rowOff>25279</xdr:rowOff>
    </xdr:from>
    <xdr:to>
      <xdr:col>8</xdr:col>
      <xdr:colOff>210440</xdr:colOff>
      <xdr:row>82</xdr:row>
      <xdr:rowOff>110972</xdr:rowOff>
    </xdr:to>
    <xdr:sp macro="" textlink="">
      <xdr:nvSpPr>
        <xdr:cNvPr id="181" name="Ромб 180">
          <a:extLst>
            <a:ext uri="{FF2B5EF4-FFF2-40B4-BE49-F238E27FC236}">
              <a16:creationId xmlns:a16="http://schemas.microsoft.com/office/drawing/2014/main" id="{3AD12509-61D3-6504-E415-381737886AAC}"/>
            </a:ext>
          </a:extLst>
        </xdr:cNvPr>
        <xdr:cNvSpPr/>
      </xdr:nvSpPr>
      <xdr:spPr bwMode="auto">
        <a:xfrm>
          <a:off x="2603401" y="2142659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1</a:t>
          </a:r>
        </a:p>
      </xdr:txBody>
    </xdr:sp>
    <xdr:clientData/>
  </xdr:twoCellAnchor>
  <xdr:twoCellAnchor>
    <xdr:from>
      <xdr:col>8</xdr:col>
      <xdr:colOff>290187</xdr:colOff>
      <xdr:row>84</xdr:row>
      <xdr:rowOff>139579</xdr:rowOff>
    </xdr:from>
    <xdr:to>
      <xdr:col>9</xdr:col>
      <xdr:colOff>221325</xdr:colOff>
      <xdr:row>86</xdr:row>
      <xdr:rowOff>34772</xdr:rowOff>
    </xdr:to>
    <xdr:sp macro="" textlink="">
      <xdr:nvSpPr>
        <xdr:cNvPr id="182" name="Ромб 181">
          <a:extLst>
            <a:ext uri="{FF2B5EF4-FFF2-40B4-BE49-F238E27FC236}">
              <a16:creationId xmlns:a16="http://schemas.microsoft.com/office/drawing/2014/main" id="{9901877A-BEC4-3978-4E4D-F1D2688EA243}"/>
            </a:ext>
          </a:extLst>
        </xdr:cNvPr>
        <xdr:cNvSpPr/>
      </xdr:nvSpPr>
      <xdr:spPr bwMode="auto">
        <a:xfrm>
          <a:off x="2946301" y="2211239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0</a:t>
          </a:r>
        </a:p>
      </xdr:txBody>
    </xdr:sp>
    <xdr:clientData/>
  </xdr:twoCellAnchor>
  <xdr:twoCellAnchor>
    <xdr:from>
      <xdr:col>1</xdr:col>
      <xdr:colOff>311959</xdr:colOff>
      <xdr:row>79</xdr:row>
      <xdr:rowOff>139579</xdr:rowOff>
    </xdr:from>
    <xdr:to>
      <xdr:col>2</xdr:col>
      <xdr:colOff>243097</xdr:colOff>
      <xdr:row>81</xdr:row>
      <xdr:rowOff>34772</xdr:rowOff>
    </xdr:to>
    <xdr:sp macro="" textlink="">
      <xdr:nvSpPr>
        <xdr:cNvPr id="184" name="Ромб 183">
          <a:extLst>
            <a:ext uri="{FF2B5EF4-FFF2-40B4-BE49-F238E27FC236}">
              <a16:creationId xmlns:a16="http://schemas.microsoft.com/office/drawing/2014/main" id="{019967EC-C78C-A622-186B-1D41CD405910}"/>
            </a:ext>
          </a:extLst>
        </xdr:cNvPr>
        <xdr:cNvSpPr/>
      </xdr:nvSpPr>
      <xdr:spPr bwMode="auto">
        <a:xfrm>
          <a:off x="643973" y="2115989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3</a:t>
          </a:r>
        </a:p>
      </xdr:txBody>
    </xdr:sp>
    <xdr:clientData/>
  </xdr:twoCellAnchor>
  <xdr:twoCellAnchor>
    <xdr:from>
      <xdr:col>3</xdr:col>
      <xdr:colOff>39815</xdr:colOff>
      <xdr:row>83</xdr:row>
      <xdr:rowOff>172237</xdr:rowOff>
    </xdr:from>
    <xdr:to>
      <xdr:col>3</xdr:col>
      <xdr:colOff>302968</xdr:colOff>
      <xdr:row>85</xdr:row>
      <xdr:rowOff>67430</xdr:rowOff>
    </xdr:to>
    <xdr:sp macro="" textlink="">
      <xdr:nvSpPr>
        <xdr:cNvPr id="186" name="Ромб 185">
          <a:extLst>
            <a:ext uri="{FF2B5EF4-FFF2-40B4-BE49-F238E27FC236}">
              <a16:creationId xmlns:a16="http://schemas.microsoft.com/office/drawing/2014/main" id="{EE5F3585-B3DA-7702-186E-84F89210E924}"/>
            </a:ext>
          </a:extLst>
        </xdr:cNvPr>
        <xdr:cNvSpPr/>
      </xdr:nvSpPr>
      <xdr:spPr bwMode="auto">
        <a:xfrm>
          <a:off x="1035858" y="2195455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2</a:t>
          </a:r>
        </a:p>
      </xdr:txBody>
    </xdr:sp>
    <xdr:clientData/>
  </xdr:twoCellAnchor>
  <xdr:twoCellAnchor>
    <xdr:from>
      <xdr:col>4</xdr:col>
      <xdr:colOff>50701</xdr:colOff>
      <xdr:row>88</xdr:row>
      <xdr:rowOff>52494</xdr:rowOff>
    </xdr:from>
    <xdr:to>
      <xdr:col>4</xdr:col>
      <xdr:colOff>313854</xdr:colOff>
      <xdr:row>89</xdr:row>
      <xdr:rowOff>138187</xdr:rowOff>
    </xdr:to>
    <xdr:sp macro="" textlink="">
      <xdr:nvSpPr>
        <xdr:cNvPr id="188" name="Ромб 187">
          <a:extLst>
            <a:ext uri="{FF2B5EF4-FFF2-40B4-BE49-F238E27FC236}">
              <a16:creationId xmlns:a16="http://schemas.microsoft.com/office/drawing/2014/main" id="{5B75E579-6C3D-C533-0A95-0B01EBA249B6}"/>
            </a:ext>
          </a:extLst>
        </xdr:cNvPr>
        <xdr:cNvSpPr/>
      </xdr:nvSpPr>
      <xdr:spPr bwMode="auto">
        <a:xfrm>
          <a:off x="1378758" y="2278730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9</a:t>
          </a:r>
        </a:p>
      </xdr:txBody>
    </xdr:sp>
    <xdr:clientData/>
  </xdr:twoCellAnchor>
  <xdr:twoCellAnchor>
    <xdr:from>
      <xdr:col>4</xdr:col>
      <xdr:colOff>246643</xdr:colOff>
      <xdr:row>90</xdr:row>
      <xdr:rowOff>183122</xdr:rowOff>
    </xdr:from>
    <xdr:to>
      <xdr:col>5</xdr:col>
      <xdr:colOff>177782</xdr:colOff>
      <xdr:row>92</xdr:row>
      <xdr:rowOff>78315</xdr:rowOff>
    </xdr:to>
    <xdr:sp macro="" textlink="">
      <xdr:nvSpPr>
        <xdr:cNvPr id="189" name="Ромб 188">
          <a:extLst>
            <a:ext uri="{FF2B5EF4-FFF2-40B4-BE49-F238E27FC236}">
              <a16:creationId xmlns:a16="http://schemas.microsoft.com/office/drawing/2014/main" id="{62D7F26F-2CBF-ACA8-74E2-367CF6C9A35D}"/>
            </a:ext>
          </a:extLst>
        </xdr:cNvPr>
        <xdr:cNvSpPr/>
      </xdr:nvSpPr>
      <xdr:spPr bwMode="auto">
        <a:xfrm>
          <a:off x="1574700" y="2329893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</a:t>
          </a:r>
        </a:p>
      </xdr:txBody>
    </xdr:sp>
    <xdr:clientData/>
  </xdr:twoCellAnchor>
  <xdr:twoCellAnchor>
    <xdr:from>
      <xdr:col>7</xdr:col>
      <xdr:colOff>12600</xdr:colOff>
      <xdr:row>90</xdr:row>
      <xdr:rowOff>134137</xdr:rowOff>
    </xdr:from>
    <xdr:to>
      <xdr:col>7</xdr:col>
      <xdr:colOff>275753</xdr:colOff>
      <xdr:row>92</xdr:row>
      <xdr:rowOff>29330</xdr:rowOff>
    </xdr:to>
    <xdr:sp macro="" textlink="">
      <xdr:nvSpPr>
        <xdr:cNvPr id="265" name="Ромб 264">
          <a:extLst>
            <a:ext uri="{FF2B5EF4-FFF2-40B4-BE49-F238E27FC236}">
              <a16:creationId xmlns:a16="http://schemas.microsoft.com/office/drawing/2014/main" id="{739A0C24-2D8B-361F-FD4C-3DCD0076A118}"/>
            </a:ext>
          </a:extLst>
        </xdr:cNvPr>
        <xdr:cNvSpPr/>
      </xdr:nvSpPr>
      <xdr:spPr bwMode="auto">
        <a:xfrm>
          <a:off x="2336700" y="2324995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</a:t>
          </a:r>
        </a:p>
      </xdr:txBody>
    </xdr:sp>
    <xdr:clientData/>
  </xdr:twoCellAnchor>
  <xdr:twoCellAnchor>
    <xdr:from>
      <xdr:col>8</xdr:col>
      <xdr:colOff>88800</xdr:colOff>
      <xdr:row>88</xdr:row>
      <xdr:rowOff>52494</xdr:rowOff>
    </xdr:from>
    <xdr:to>
      <xdr:col>9</xdr:col>
      <xdr:colOff>19938</xdr:colOff>
      <xdr:row>89</xdr:row>
      <xdr:rowOff>138187</xdr:rowOff>
    </xdr:to>
    <xdr:sp macro="" textlink="">
      <xdr:nvSpPr>
        <xdr:cNvPr id="270" name="Ромб 269">
          <a:extLst>
            <a:ext uri="{FF2B5EF4-FFF2-40B4-BE49-F238E27FC236}">
              <a16:creationId xmlns:a16="http://schemas.microsoft.com/office/drawing/2014/main" id="{82188B41-F060-BC14-2067-D35E18FF3B0E}"/>
            </a:ext>
          </a:extLst>
        </xdr:cNvPr>
        <xdr:cNvSpPr/>
      </xdr:nvSpPr>
      <xdr:spPr bwMode="auto">
        <a:xfrm>
          <a:off x="2744914" y="2278730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8</a:t>
          </a:r>
        </a:p>
      </xdr:txBody>
    </xdr:sp>
    <xdr:clientData/>
  </xdr:twoCellAnchor>
  <xdr:twoCellAnchor>
    <xdr:from>
      <xdr:col>6</xdr:col>
      <xdr:colOff>72472</xdr:colOff>
      <xdr:row>88</xdr:row>
      <xdr:rowOff>52494</xdr:rowOff>
    </xdr:from>
    <xdr:to>
      <xdr:col>7</xdr:col>
      <xdr:colOff>3611</xdr:colOff>
      <xdr:row>89</xdr:row>
      <xdr:rowOff>138187</xdr:rowOff>
    </xdr:to>
    <xdr:sp macro="" textlink="">
      <xdr:nvSpPr>
        <xdr:cNvPr id="271" name="Ромб 270">
          <a:extLst>
            <a:ext uri="{FF2B5EF4-FFF2-40B4-BE49-F238E27FC236}">
              <a16:creationId xmlns:a16="http://schemas.microsoft.com/office/drawing/2014/main" id="{2847D9B5-9177-A779-2CD1-447942E0A940}"/>
            </a:ext>
          </a:extLst>
        </xdr:cNvPr>
        <xdr:cNvSpPr/>
      </xdr:nvSpPr>
      <xdr:spPr bwMode="auto">
        <a:xfrm>
          <a:off x="2064558" y="2278730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</a:t>
          </a:r>
        </a:p>
      </xdr:txBody>
    </xdr:sp>
    <xdr:clientData/>
  </xdr:twoCellAnchor>
  <xdr:twoCellAnchor>
    <xdr:from>
      <xdr:col>6</xdr:col>
      <xdr:colOff>127173</xdr:colOff>
      <xdr:row>71</xdr:row>
      <xdr:rowOff>38100</xdr:rowOff>
    </xdr:from>
    <xdr:to>
      <xdr:col>7</xdr:col>
      <xdr:colOff>70754</xdr:colOff>
      <xdr:row>71</xdr:row>
      <xdr:rowOff>157833</xdr:rowOff>
    </xdr:to>
    <xdr:cxnSp macro="">
      <xdr:nvCxnSpPr>
        <xdr:cNvPr id="284" name="Прямая соединительная линия 283">
          <a:extLst>
            <a:ext uri="{FF2B5EF4-FFF2-40B4-BE49-F238E27FC236}">
              <a16:creationId xmlns:a16="http://schemas.microsoft.com/office/drawing/2014/main" id="{0C732374-5981-341A-77CB-EBE844E26176}"/>
            </a:ext>
          </a:extLst>
        </xdr:cNvPr>
        <xdr:cNvCxnSpPr/>
      </xdr:nvCxnSpPr>
      <xdr:spPr bwMode="auto">
        <a:xfrm flipV="1">
          <a:off x="2119259" y="19534414"/>
          <a:ext cx="275595" cy="119733"/>
        </a:xfrm>
        <a:prstGeom prst="line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60145</xdr:colOff>
      <xdr:row>69</xdr:row>
      <xdr:rowOff>144895</xdr:rowOff>
    </xdr:from>
    <xdr:to>
      <xdr:col>7</xdr:col>
      <xdr:colOff>326161</xdr:colOff>
      <xdr:row>71</xdr:row>
      <xdr:rowOff>116230</xdr:rowOff>
    </xdr:to>
    <xdr:sp macro="" textlink="">
      <xdr:nvSpPr>
        <xdr:cNvPr id="285" name="Овал 284">
          <a:extLst>
            <a:ext uri="{FF2B5EF4-FFF2-40B4-BE49-F238E27FC236}">
              <a16:creationId xmlns:a16="http://schemas.microsoft.com/office/drawing/2014/main" id="{823DFB6C-A2A5-B764-6EF5-AA4627D336EF}"/>
            </a:ext>
          </a:extLst>
        </xdr:cNvPr>
        <xdr:cNvSpPr/>
      </xdr:nvSpPr>
      <xdr:spPr bwMode="auto">
        <a:xfrm>
          <a:off x="2384245" y="19314638"/>
          <a:ext cx="266016" cy="297906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1200">
              <a:latin typeface="Times New Roman" pitchFamily="18" charset="0"/>
              <a:cs typeface="Times New Roman" pitchFamily="18" charset="0"/>
            </a:rPr>
            <a:t>36</a:t>
          </a:r>
        </a:p>
      </xdr:txBody>
    </xdr:sp>
    <xdr:clientData/>
  </xdr:twoCellAnchor>
  <xdr:twoCellAnchor>
    <xdr:from>
      <xdr:col>4</xdr:col>
      <xdr:colOff>266192</xdr:colOff>
      <xdr:row>72</xdr:row>
      <xdr:rowOff>151039</xdr:rowOff>
    </xdr:from>
    <xdr:to>
      <xdr:col>5</xdr:col>
      <xdr:colOff>108857</xdr:colOff>
      <xdr:row>73</xdr:row>
      <xdr:rowOff>136257</xdr:rowOff>
    </xdr:to>
    <xdr:sp macro="" textlink="">
      <xdr:nvSpPr>
        <xdr:cNvPr id="286" name="Прямоугольник 285">
          <a:extLst>
            <a:ext uri="{FF2B5EF4-FFF2-40B4-BE49-F238E27FC236}">
              <a16:creationId xmlns:a16="http://schemas.microsoft.com/office/drawing/2014/main" id="{0A91BDE3-B8CE-82B2-EF1B-D0D3186B96B7}"/>
            </a:ext>
          </a:extLst>
        </xdr:cNvPr>
        <xdr:cNvSpPr/>
      </xdr:nvSpPr>
      <xdr:spPr>
        <a:xfrm>
          <a:off x="1594249" y="19837853"/>
          <a:ext cx="174679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0</xdr:col>
      <xdr:colOff>220854</xdr:colOff>
      <xdr:row>69</xdr:row>
      <xdr:rowOff>101162</xdr:rowOff>
    </xdr:from>
    <xdr:to>
      <xdr:col>11</xdr:col>
      <xdr:colOff>236482</xdr:colOff>
      <xdr:row>95</xdr:row>
      <xdr:rowOff>173513</xdr:rowOff>
    </xdr:to>
    <xdr:grpSp>
      <xdr:nvGrpSpPr>
        <xdr:cNvPr id="48" name="Группа 47">
          <a:extLst>
            <a:ext uri="{FF2B5EF4-FFF2-40B4-BE49-F238E27FC236}">
              <a16:creationId xmlns:a16="http://schemas.microsoft.com/office/drawing/2014/main" id="{42B43DCE-520C-8204-2560-44C68EC2E735}"/>
            </a:ext>
          </a:extLst>
        </xdr:cNvPr>
        <xdr:cNvGrpSpPr/>
      </xdr:nvGrpSpPr>
      <xdr:grpSpPr>
        <a:xfrm>
          <a:off x="220854" y="19358227"/>
          <a:ext cx="4024411" cy="4975656"/>
          <a:chOff x="220854" y="19817912"/>
          <a:chExt cx="3682753" cy="4968201"/>
        </a:xfrm>
      </xdr:grpSpPr>
      <xdr:pic>
        <xdr:nvPicPr>
          <xdr:cNvPr id="2" name="Рисунок 1">
            <a:extLst>
              <a:ext uri="{FF2B5EF4-FFF2-40B4-BE49-F238E27FC236}">
                <a16:creationId xmlns:a16="http://schemas.microsoft.com/office/drawing/2014/main" id="{E8E59BDE-23DD-7BDE-E71A-1153B44F69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0854" y="19817912"/>
            <a:ext cx="3682753" cy="4968201"/>
          </a:xfrm>
          <a:prstGeom prst="rect">
            <a:avLst/>
          </a:prstGeom>
        </xdr:spPr>
      </xdr:pic>
      <xdr:cxnSp macro="">
        <xdr:nvCxnSpPr>
          <xdr:cNvPr id="10" name="Прямая соединительная линия 9">
            <a:extLst>
              <a:ext uri="{FF2B5EF4-FFF2-40B4-BE49-F238E27FC236}">
                <a16:creationId xmlns:a16="http://schemas.microsoft.com/office/drawing/2014/main" id="{C3C65144-601B-2F5D-BBC4-40C2C5B85E49}"/>
              </a:ext>
            </a:extLst>
          </xdr:cNvPr>
          <xdr:cNvCxnSpPr/>
        </xdr:nvCxnSpPr>
        <xdr:spPr bwMode="auto">
          <a:xfrm flipH="1">
            <a:off x="3330834" y="19983450"/>
            <a:ext cx="41016" cy="4191540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chemeClr val="tx1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0" name="Прямая соединительная линия 19">
            <a:extLst>
              <a:ext uri="{FF2B5EF4-FFF2-40B4-BE49-F238E27FC236}">
                <a16:creationId xmlns:a16="http://schemas.microsoft.com/office/drawing/2014/main" id="{B4D87691-DAC1-E9A6-5E14-71395C260A28}"/>
              </a:ext>
            </a:extLst>
          </xdr:cNvPr>
          <xdr:cNvCxnSpPr/>
        </xdr:nvCxnSpPr>
        <xdr:spPr bwMode="auto">
          <a:xfrm flipH="1">
            <a:off x="590550" y="19945350"/>
            <a:ext cx="2800350" cy="0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chemeClr val="tx1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6" name="Прямая соединительная линия 25">
            <a:extLst>
              <a:ext uri="{FF2B5EF4-FFF2-40B4-BE49-F238E27FC236}">
                <a16:creationId xmlns:a16="http://schemas.microsoft.com/office/drawing/2014/main" id="{B58DBCCB-F19E-FFA4-4449-1EC402A317B6}"/>
              </a:ext>
            </a:extLst>
          </xdr:cNvPr>
          <xdr:cNvCxnSpPr/>
        </xdr:nvCxnSpPr>
        <xdr:spPr bwMode="auto">
          <a:xfrm flipH="1">
            <a:off x="466725" y="19935825"/>
            <a:ext cx="95250" cy="1304925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chemeClr val="tx1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1" name="Прямая соединительная линия 30">
            <a:extLst>
              <a:ext uri="{FF2B5EF4-FFF2-40B4-BE49-F238E27FC236}">
                <a16:creationId xmlns:a16="http://schemas.microsoft.com/office/drawing/2014/main" id="{EF82DCC5-8A00-D798-BA07-8BE88D290CEA}"/>
              </a:ext>
            </a:extLst>
          </xdr:cNvPr>
          <xdr:cNvCxnSpPr/>
        </xdr:nvCxnSpPr>
        <xdr:spPr bwMode="auto">
          <a:xfrm>
            <a:off x="457200" y="21231225"/>
            <a:ext cx="1866900" cy="3438525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chemeClr val="tx1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40" name="Прямая соединительная линия 39">
            <a:extLst>
              <a:ext uri="{FF2B5EF4-FFF2-40B4-BE49-F238E27FC236}">
                <a16:creationId xmlns:a16="http://schemas.microsoft.com/office/drawing/2014/main" id="{25480008-5881-354C-BF69-1BDFBC072C93}"/>
              </a:ext>
            </a:extLst>
          </xdr:cNvPr>
          <xdr:cNvCxnSpPr/>
        </xdr:nvCxnSpPr>
        <xdr:spPr bwMode="auto">
          <a:xfrm flipH="1">
            <a:off x="2343150" y="24126825"/>
            <a:ext cx="1000125" cy="542925"/>
          </a:xfrm>
          <a:prstGeom prst="line">
            <a:avLst/>
          </a:prstGeom>
          <a:solidFill>
            <a:srgbClr val="FFFFFF"/>
          </a:solidFill>
          <a:ln w="31750" cap="flat" cmpd="sng" algn="ctr">
            <a:solidFill>
              <a:schemeClr val="tx1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10</xdr:col>
      <xdr:colOff>32207</xdr:colOff>
      <xdr:row>91</xdr:row>
      <xdr:rowOff>167555</xdr:rowOff>
    </xdr:from>
    <xdr:to>
      <xdr:col>10</xdr:col>
      <xdr:colOff>306159</xdr:colOff>
      <xdr:row>92</xdr:row>
      <xdr:rowOff>96788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C3EB17AD-D660-237C-813B-8261325F4767}"/>
            </a:ext>
          </a:extLst>
        </xdr:cNvPr>
        <xdr:cNvCxnSpPr/>
      </xdr:nvCxnSpPr>
      <xdr:spPr bwMode="auto">
        <a:xfrm flipV="1">
          <a:off x="3365957" y="24018155"/>
          <a:ext cx="273952" cy="119733"/>
        </a:xfrm>
        <a:prstGeom prst="line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286025</xdr:colOff>
      <xdr:row>90</xdr:row>
      <xdr:rowOff>166854</xdr:rowOff>
    </xdr:from>
    <xdr:to>
      <xdr:col>11</xdr:col>
      <xdr:colOff>220027</xdr:colOff>
      <xdr:row>92</xdr:row>
      <xdr:rowOff>83760</xdr:rowOff>
    </xdr:to>
    <xdr:sp macro="" textlink="">
      <xdr:nvSpPr>
        <xdr:cNvPr id="51" name="Овал 50">
          <a:extLst>
            <a:ext uri="{FF2B5EF4-FFF2-40B4-BE49-F238E27FC236}">
              <a16:creationId xmlns:a16="http://schemas.microsoft.com/office/drawing/2014/main" id="{5F787AA6-5422-977A-A846-E120A1822903}"/>
            </a:ext>
          </a:extLst>
        </xdr:cNvPr>
        <xdr:cNvSpPr/>
      </xdr:nvSpPr>
      <xdr:spPr bwMode="auto">
        <a:xfrm>
          <a:off x="3619775" y="23826954"/>
          <a:ext cx="267377" cy="297906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1200">
              <a:latin typeface="Times New Roman" pitchFamily="18" charset="0"/>
              <a:cs typeface="Times New Roman" pitchFamily="18" charset="0"/>
            </a:rPr>
            <a:t>1</a:t>
          </a:r>
        </a:p>
      </xdr:txBody>
    </xdr:sp>
    <xdr:clientData/>
  </xdr:twoCellAnchor>
  <xdr:twoCellAnchor>
    <xdr:from>
      <xdr:col>10</xdr:col>
      <xdr:colOff>60782</xdr:colOff>
      <xdr:row>70</xdr:row>
      <xdr:rowOff>76200</xdr:rowOff>
    </xdr:from>
    <xdr:to>
      <xdr:col>10</xdr:col>
      <xdr:colOff>323850</xdr:colOff>
      <xdr:row>70</xdr:row>
      <xdr:rowOff>77738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7B80F880-B66D-D465-142D-5AE1B65C4B01}"/>
            </a:ext>
          </a:extLst>
        </xdr:cNvPr>
        <xdr:cNvCxnSpPr/>
      </xdr:nvCxnSpPr>
      <xdr:spPr bwMode="auto">
        <a:xfrm flipV="1">
          <a:off x="3394532" y="19954875"/>
          <a:ext cx="263068" cy="1538"/>
        </a:xfrm>
        <a:prstGeom prst="line">
          <a:avLst/>
        </a:pr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314600</xdr:colOff>
      <xdr:row>69</xdr:row>
      <xdr:rowOff>109704</xdr:rowOff>
    </xdr:from>
    <xdr:to>
      <xdr:col>11</xdr:col>
      <xdr:colOff>248602</xdr:colOff>
      <xdr:row>71</xdr:row>
      <xdr:rowOff>83760</xdr:rowOff>
    </xdr:to>
    <xdr:sp macro="" textlink="">
      <xdr:nvSpPr>
        <xdr:cNvPr id="55" name="Овал 54">
          <a:extLst>
            <a:ext uri="{FF2B5EF4-FFF2-40B4-BE49-F238E27FC236}">
              <a16:creationId xmlns:a16="http://schemas.microsoft.com/office/drawing/2014/main" id="{B11A4CC2-02D9-1695-53C9-409608D448CE}"/>
            </a:ext>
          </a:extLst>
        </xdr:cNvPr>
        <xdr:cNvSpPr/>
      </xdr:nvSpPr>
      <xdr:spPr bwMode="auto">
        <a:xfrm>
          <a:off x="3648350" y="19826454"/>
          <a:ext cx="267377" cy="297906"/>
        </a:xfrm>
        <a:prstGeom prst="ellips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1200">
              <a:latin typeface="Times New Roman" pitchFamily="18" charset="0"/>
              <a:cs typeface="Times New Roman" pitchFamily="18" charset="0"/>
            </a:rPr>
            <a:t>32</a:t>
          </a:r>
        </a:p>
      </xdr:txBody>
    </xdr:sp>
    <xdr:clientData/>
  </xdr:twoCellAnchor>
  <xdr:twoCellAnchor>
    <xdr:from>
      <xdr:col>6</xdr:col>
      <xdr:colOff>296503</xdr:colOff>
      <xdr:row>93</xdr:row>
      <xdr:rowOff>168916</xdr:rowOff>
    </xdr:from>
    <xdr:to>
      <xdr:col>7</xdr:col>
      <xdr:colOff>94266</xdr:colOff>
      <xdr:row>94</xdr:row>
      <xdr:rowOff>154134</xdr:rowOff>
    </xdr:to>
    <xdr:sp macro="" textlink="">
      <xdr:nvSpPr>
        <xdr:cNvPr id="67" name="Прямоугольник 66">
          <a:extLst>
            <a:ext uri="{FF2B5EF4-FFF2-40B4-BE49-F238E27FC236}">
              <a16:creationId xmlns:a16="http://schemas.microsoft.com/office/drawing/2014/main" id="{C7D7CE64-AB82-34F7-6F03-5459C7935E1A}"/>
            </a:ext>
          </a:extLst>
        </xdr:cNvPr>
        <xdr:cNvSpPr/>
      </xdr:nvSpPr>
      <xdr:spPr>
        <a:xfrm>
          <a:off x="2296753" y="24400516"/>
          <a:ext cx="131138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ru-RU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211106</xdr:colOff>
      <xdr:row>93</xdr:row>
      <xdr:rowOff>50674</xdr:rowOff>
    </xdr:from>
    <xdr:to>
      <xdr:col>8</xdr:col>
      <xdr:colOff>8870</xdr:colOff>
      <xdr:row>94</xdr:row>
      <xdr:rowOff>35892</xdr:rowOff>
    </xdr:to>
    <xdr:sp macro="" textlink="">
      <xdr:nvSpPr>
        <xdr:cNvPr id="71" name="Прямоугольник 70">
          <a:extLst>
            <a:ext uri="{FF2B5EF4-FFF2-40B4-BE49-F238E27FC236}">
              <a16:creationId xmlns:a16="http://schemas.microsoft.com/office/drawing/2014/main" id="{89ADA3FD-497A-5052-EC24-01BD58B92C06}"/>
            </a:ext>
          </a:extLst>
        </xdr:cNvPr>
        <xdr:cNvSpPr/>
      </xdr:nvSpPr>
      <xdr:spPr>
        <a:xfrm>
          <a:off x="2556227" y="24296726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8</xdr:col>
      <xdr:colOff>92865</xdr:colOff>
      <xdr:row>92</xdr:row>
      <xdr:rowOff>70381</xdr:rowOff>
    </xdr:from>
    <xdr:to>
      <xdr:col>8</xdr:col>
      <xdr:colOff>225646</xdr:colOff>
      <xdr:row>93</xdr:row>
      <xdr:rowOff>55599</xdr:rowOff>
    </xdr:to>
    <xdr:sp macro="" textlink="">
      <xdr:nvSpPr>
        <xdr:cNvPr id="72" name="Прямоугольник 71">
          <a:extLst>
            <a:ext uri="{FF2B5EF4-FFF2-40B4-BE49-F238E27FC236}">
              <a16:creationId xmlns:a16="http://schemas.microsoft.com/office/drawing/2014/main" id="{662DC89C-491C-0C27-08C0-48628887184E}"/>
            </a:ext>
          </a:extLst>
        </xdr:cNvPr>
        <xdr:cNvSpPr/>
      </xdr:nvSpPr>
      <xdr:spPr>
        <a:xfrm>
          <a:off x="2773003" y="24125933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9</xdr:col>
      <xdr:colOff>40314</xdr:colOff>
      <xdr:row>91</xdr:row>
      <xdr:rowOff>136071</xdr:rowOff>
    </xdr:from>
    <xdr:to>
      <xdr:col>9</xdr:col>
      <xdr:colOff>173095</xdr:colOff>
      <xdr:row>92</xdr:row>
      <xdr:rowOff>121289</xdr:rowOff>
    </xdr:to>
    <xdr:sp macro="" textlink="">
      <xdr:nvSpPr>
        <xdr:cNvPr id="74" name="Прямоугольник 73">
          <a:extLst>
            <a:ext uri="{FF2B5EF4-FFF2-40B4-BE49-F238E27FC236}">
              <a16:creationId xmlns:a16="http://schemas.microsoft.com/office/drawing/2014/main" id="{690511DD-45FC-8211-A4AD-40CBC920BEFD}"/>
            </a:ext>
          </a:extLst>
        </xdr:cNvPr>
        <xdr:cNvSpPr/>
      </xdr:nvSpPr>
      <xdr:spPr>
        <a:xfrm>
          <a:off x="3055469" y="24001123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9</xdr:col>
      <xdr:colOff>171693</xdr:colOff>
      <xdr:row>90</xdr:row>
      <xdr:rowOff>17830</xdr:rowOff>
    </xdr:from>
    <xdr:to>
      <xdr:col>9</xdr:col>
      <xdr:colOff>304474</xdr:colOff>
      <xdr:row>91</xdr:row>
      <xdr:rowOff>3048</xdr:rowOff>
    </xdr:to>
    <xdr:sp macro="" textlink="">
      <xdr:nvSpPr>
        <xdr:cNvPr id="75" name="Прямоугольник 74">
          <a:extLst>
            <a:ext uri="{FF2B5EF4-FFF2-40B4-BE49-F238E27FC236}">
              <a16:creationId xmlns:a16="http://schemas.microsoft.com/office/drawing/2014/main" id="{86C4CE48-A4EA-3072-063B-7268654F10F4}"/>
            </a:ext>
          </a:extLst>
        </xdr:cNvPr>
        <xdr:cNvSpPr/>
      </xdr:nvSpPr>
      <xdr:spPr>
        <a:xfrm>
          <a:off x="3186848" y="23692382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6</xdr:col>
      <xdr:colOff>217676</xdr:colOff>
      <xdr:row>91</xdr:row>
      <xdr:rowOff>182054</xdr:rowOff>
    </xdr:from>
    <xdr:to>
      <xdr:col>7</xdr:col>
      <xdr:colOff>15439</xdr:colOff>
      <xdr:row>92</xdr:row>
      <xdr:rowOff>167272</xdr:rowOff>
    </xdr:to>
    <xdr:sp macro="" textlink="">
      <xdr:nvSpPr>
        <xdr:cNvPr id="76" name="Прямоугольник 75">
          <a:extLst>
            <a:ext uri="{FF2B5EF4-FFF2-40B4-BE49-F238E27FC236}">
              <a16:creationId xmlns:a16="http://schemas.microsoft.com/office/drawing/2014/main" id="{D5D38829-DFF9-1164-4581-51A9BB327EB1}"/>
            </a:ext>
          </a:extLst>
        </xdr:cNvPr>
        <xdr:cNvSpPr/>
      </xdr:nvSpPr>
      <xdr:spPr>
        <a:xfrm>
          <a:off x="2227779" y="24047106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9</a:t>
          </a:r>
        </a:p>
      </xdr:txBody>
    </xdr:sp>
    <xdr:clientData/>
  </xdr:twoCellAnchor>
  <xdr:twoCellAnchor>
    <xdr:from>
      <xdr:col>7</xdr:col>
      <xdr:colOff>112572</xdr:colOff>
      <xdr:row>91</xdr:row>
      <xdr:rowOff>149209</xdr:rowOff>
    </xdr:from>
    <xdr:to>
      <xdr:col>7</xdr:col>
      <xdr:colOff>245353</xdr:colOff>
      <xdr:row>92</xdr:row>
      <xdr:rowOff>134427</xdr:rowOff>
    </xdr:to>
    <xdr:sp macro="" textlink="">
      <xdr:nvSpPr>
        <xdr:cNvPr id="78" name="Прямоугольник 77">
          <a:extLst>
            <a:ext uri="{FF2B5EF4-FFF2-40B4-BE49-F238E27FC236}">
              <a16:creationId xmlns:a16="http://schemas.microsoft.com/office/drawing/2014/main" id="{65F6CCB2-A93D-E096-7BB2-78A1995AC8C3}"/>
            </a:ext>
          </a:extLst>
        </xdr:cNvPr>
        <xdr:cNvSpPr/>
      </xdr:nvSpPr>
      <xdr:spPr>
        <a:xfrm>
          <a:off x="2457693" y="24014261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xdr:txBody>
    </xdr:sp>
    <xdr:clientData/>
  </xdr:twoCellAnchor>
  <xdr:twoCellAnchor>
    <xdr:from>
      <xdr:col>8</xdr:col>
      <xdr:colOff>33744</xdr:colOff>
      <xdr:row>90</xdr:row>
      <xdr:rowOff>149209</xdr:rowOff>
    </xdr:from>
    <xdr:to>
      <xdr:col>8</xdr:col>
      <xdr:colOff>166525</xdr:colOff>
      <xdr:row>91</xdr:row>
      <xdr:rowOff>134427</xdr:rowOff>
    </xdr:to>
    <xdr:sp macro="" textlink="">
      <xdr:nvSpPr>
        <xdr:cNvPr id="80" name="Прямоугольник 79">
          <a:extLst>
            <a:ext uri="{FF2B5EF4-FFF2-40B4-BE49-F238E27FC236}">
              <a16:creationId xmlns:a16="http://schemas.microsoft.com/office/drawing/2014/main" id="{A819B628-9F75-253B-5989-3F0BA7458E19}"/>
            </a:ext>
          </a:extLst>
        </xdr:cNvPr>
        <xdr:cNvSpPr/>
      </xdr:nvSpPr>
      <xdr:spPr>
        <a:xfrm>
          <a:off x="2713882" y="23823761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8</xdr:col>
      <xdr:colOff>237382</xdr:colOff>
      <xdr:row>90</xdr:row>
      <xdr:rowOff>44106</xdr:rowOff>
    </xdr:from>
    <xdr:to>
      <xdr:col>9</xdr:col>
      <xdr:colOff>35146</xdr:colOff>
      <xdr:row>91</xdr:row>
      <xdr:rowOff>29324</xdr:rowOff>
    </xdr:to>
    <xdr:sp macro="" textlink="">
      <xdr:nvSpPr>
        <xdr:cNvPr id="93" name="Прямоугольник 92">
          <a:extLst>
            <a:ext uri="{FF2B5EF4-FFF2-40B4-BE49-F238E27FC236}">
              <a16:creationId xmlns:a16="http://schemas.microsoft.com/office/drawing/2014/main" id="{B220A0CC-B3F4-2BCA-6B54-244E2B35AC38}"/>
            </a:ext>
          </a:extLst>
        </xdr:cNvPr>
        <xdr:cNvSpPr/>
      </xdr:nvSpPr>
      <xdr:spPr>
        <a:xfrm>
          <a:off x="2917520" y="23718658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9</xdr:col>
      <xdr:colOff>92865</xdr:colOff>
      <xdr:row>88</xdr:row>
      <xdr:rowOff>83519</xdr:rowOff>
    </xdr:from>
    <xdr:to>
      <xdr:col>9</xdr:col>
      <xdr:colOff>225646</xdr:colOff>
      <xdr:row>89</xdr:row>
      <xdr:rowOff>68737</xdr:rowOff>
    </xdr:to>
    <xdr:sp macro="" textlink="">
      <xdr:nvSpPr>
        <xdr:cNvPr id="94" name="Прямоугольник 93">
          <a:extLst>
            <a:ext uri="{FF2B5EF4-FFF2-40B4-BE49-F238E27FC236}">
              <a16:creationId xmlns:a16="http://schemas.microsoft.com/office/drawing/2014/main" id="{E1B1BF74-A4CB-1494-FA06-E709DF9F3FE9}"/>
            </a:ext>
          </a:extLst>
        </xdr:cNvPr>
        <xdr:cNvSpPr/>
      </xdr:nvSpPr>
      <xdr:spPr>
        <a:xfrm>
          <a:off x="3108020" y="23377071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8</xdr:col>
      <xdr:colOff>106003</xdr:colOff>
      <xdr:row>88</xdr:row>
      <xdr:rowOff>90088</xdr:rowOff>
    </xdr:from>
    <xdr:to>
      <xdr:col>8</xdr:col>
      <xdr:colOff>238784</xdr:colOff>
      <xdr:row>89</xdr:row>
      <xdr:rowOff>75306</xdr:rowOff>
    </xdr:to>
    <xdr:sp macro="" textlink="">
      <xdr:nvSpPr>
        <xdr:cNvPr id="97" name="Прямоугольник 96">
          <a:extLst>
            <a:ext uri="{FF2B5EF4-FFF2-40B4-BE49-F238E27FC236}">
              <a16:creationId xmlns:a16="http://schemas.microsoft.com/office/drawing/2014/main" id="{50EF7030-354F-33DA-4424-80ACBE285132}"/>
            </a:ext>
          </a:extLst>
        </xdr:cNvPr>
        <xdr:cNvSpPr/>
      </xdr:nvSpPr>
      <xdr:spPr>
        <a:xfrm>
          <a:off x="2786141" y="23383640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7</xdr:col>
      <xdr:colOff>73158</xdr:colOff>
      <xdr:row>88</xdr:row>
      <xdr:rowOff>103226</xdr:rowOff>
    </xdr:from>
    <xdr:to>
      <xdr:col>7</xdr:col>
      <xdr:colOff>205939</xdr:colOff>
      <xdr:row>89</xdr:row>
      <xdr:rowOff>88444</xdr:rowOff>
    </xdr:to>
    <xdr:sp macro="" textlink="">
      <xdr:nvSpPr>
        <xdr:cNvPr id="100" name="Прямоугольник 99">
          <a:extLst>
            <a:ext uri="{FF2B5EF4-FFF2-40B4-BE49-F238E27FC236}">
              <a16:creationId xmlns:a16="http://schemas.microsoft.com/office/drawing/2014/main" id="{778D3042-A307-B3BE-6F8A-AB90B8CD037C}"/>
            </a:ext>
          </a:extLst>
        </xdr:cNvPr>
        <xdr:cNvSpPr/>
      </xdr:nvSpPr>
      <xdr:spPr>
        <a:xfrm>
          <a:off x="2418279" y="23396778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6</xdr:col>
      <xdr:colOff>243952</xdr:colOff>
      <xdr:row>90</xdr:row>
      <xdr:rowOff>24399</xdr:rowOff>
    </xdr:from>
    <xdr:to>
      <xdr:col>7</xdr:col>
      <xdr:colOff>41715</xdr:colOff>
      <xdr:row>91</xdr:row>
      <xdr:rowOff>9617</xdr:rowOff>
    </xdr:to>
    <xdr:sp macro="" textlink="">
      <xdr:nvSpPr>
        <xdr:cNvPr id="101" name="Прямоугольник 100">
          <a:extLst>
            <a:ext uri="{FF2B5EF4-FFF2-40B4-BE49-F238E27FC236}">
              <a16:creationId xmlns:a16="http://schemas.microsoft.com/office/drawing/2014/main" id="{0658D05B-1DE6-A230-C475-91646B33BBC2}"/>
            </a:ext>
          </a:extLst>
        </xdr:cNvPr>
        <xdr:cNvSpPr/>
      </xdr:nvSpPr>
      <xdr:spPr>
        <a:xfrm>
          <a:off x="2254055" y="23698951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xdr:txBody>
    </xdr:sp>
    <xdr:clientData/>
  </xdr:twoCellAnchor>
  <xdr:twoCellAnchor>
    <xdr:from>
      <xdr:col>5</xdr:col>
      <xdr:colOff>276796</xdr:colOff>
      <xdr:row>89</xdr:row>
      <xdr:rowOff>149209</xdr:rowOff>
    </xdr:from>
    <xdr:to>
      <xdr:col>6</xdr:col>
      <xdr:colOff>74560</xdr:colOff>
      <xdr:row>90</xdr:row>
      <xdr:rowOff>134427</xdr:rowOff>
    </xdr:to>
    <xdr:sp macro="" textlink="">
      <xdr:nvSpPr>
        <xdr:cNvPr id="102" name="Прямоугольник 101">
          <a:extLst>
            <a:ext uri="{FF2B5EF4-FFF2-40B4-BE49-F238E27FC236}">
              <a16:creationId xmlns:a16="http://schemas.microsoft.com/office/drawing/2014/main" id="{F37EB308-D3FA-8200-BA8C-66E9EE734124}"/>
            </a:ext>
          </a:extLst>
        </xdr:cNvPr>
        <xdr:cNvSpPr/>
      </xdr:nvSpPr>
      <xdr:spPr>
        <a:xfrm>
          <a:off x="1951882" y="23633261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6</xdr:col>
      <xdr:colOff>73159</xdr:colOff>
      <xdr:row>87</xdr:row>
      <xdr:rowOff>188623</xdr:rowOff>
    </xdr:from>
    <xdr:to>
      <xdr:col>6</xdr:col>
      <xdr:colOff>205940</xdr:colOff>
      <xdr:row>88</xdr:row>
      <xdr:rowOff>173841</xdr:rowOff>
    </xdr:to>
    <xdr:sp macro="" textlink="">
      <xdr:nvSpPr>
        <xdr:cNvPr id="103" name="Прямоугольник 102">
          <a:extLst>
            <a:ext uri="{FF2B5EF4-FFF2-40B4-BE49-F238E27FC236}">
              <a16:creationId xmlns:a16="http://schemas.microsoft.com/office/drawing/2014/main" id="{11A8ADC7-21A2-4DDD-2AE5-EC9761632B43}"/>
            </a:ext>
          </a:extLst>
        </xdr:cNvPr>
        <xdr:cNvSpPr/>
      </xdr:nvSpPr>
      <xdr:spPr>
        <a:xfrm>
          <a:off x="2083262" y="23291675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5</xdr:col>
      <xdr:colOff>99434</xdr:colOff>
      <xdr:row>87</xdr:row>
      <xdr:rowOff>90088</xdr:rowOff>
    </xdr:from>
    <xdr:to>
      <xdr:col>5</xdr:col>
      <xdr:colOff>232215</xdr:colOff>
      <xdr:row>88</xdr:row>
      <xdr:rowOff>75306</xdr:rowOff>
    </xdr:to>
    <xdr:sp macro="" textlink="">
      <xdr:nvSpPr>
        <xdr:cNvPr id="104" name="Прямоугольник 103">
          <a:extLst>
            <a:ext uri="{FF2B5EF4-FFF2-40B4-BE49-F238E27FC236}">
              <a16:creationId xmlns:a16="http://schemas.microsoft.com/office/drawing/2014/main" id="{32759155-A8D1-FC60-A056-40B29553C04E}"/>
            </a:ext>
          </a:extLst>
        </xdr:cNvPr>
        <xdr:cNvSpPr/>
      </xdr:nvSpPr>
      <xdr:spPr>
        <a:xfrm>
          <a:off x="1774520" y="23193140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6</xdr:col>
      <xdr:colOff>106004</xdr:colOff>
      <xdr:row>85</xdr:row>
      <xdr:rowOff>129502</xdr:rowOff>
    </xdr:from>
    <xdr:to>
      <xdr:col>6</xdr:col>
      <xdr:colOff>238785</xdr:colOff>
      <xdr:row>86</xdr:row>
      <xdr:rowOff>114720</xdr:rowOff>
    </xdr:to>
    <xdr:sp macro="" textlink="">
      <xdr:nvSpPr>
        <xdr:cNvPr id="114" name="Прямоугольник 113">
          <a:extLst>
            <a:ext uri="{FF2B5EF4-FFF2-40B4-BE49-F238E27FC236}">
              <a16:creationId xmlns:a16="http://schemas.microsoft.com/office/drawing/2014/main" id="{B4C1F4E3-CA51-9EDB-81CB-64C2E38907C6}"/>
            </a:ext>
          </a:extLst>
        </xdr:cNvPr>
        <xdr:cNvSpPr/>
      </xdr:nvSpPr>
      <xdr:spPr>
        <a:xfrm>
          <a:off x="2116107" y="22851554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9</a:t>
          </a:r>
        </a:p>
      </xdr:txBody>
    </xdr:sp>
    <xdr:clientData/>
  </xdr:twoCellAnchor>
  <xdr:twoCellAnchor>
    <xdr:from>
      <xdr:col>7</xdr:col>
      <xdr:colOff>230814</xdr:colOff>
      <xdr:row>86</xdr:row>
      <xdr:rowOff>63812</xdr:rowOff>
    </xdr:from>
    <xdr:to>
      <xdr:col>8</xdr:col>
      <xdr:colOff>28578</xdr:colOff>
      <xdr:row>87</xdr:row>
      <xdr:rowOff>49030</xdr:rowOff>
    </xdr:to>
    <xdr:sp macro="" textlink="">
      <xdr:nvSpPr>
        <xdr:cNvPr id="115" name="Прямоугольник 114">
          <a:extLst>
            <a:ext uri="{FF2B5EF4-FFF2-40B4-BE49-F238E27FC236}">
              <a16:creationId xmlns:a16="http://schemas.microsoft.com/office/drawing/2014/main" id="{BAC19018-6C9B-EE59-A406-F6728C8D5893}"/>
            </a:ext>
          </a:extLst>
        </xdr:cNvPr>
        <xdr:cNvSpPr/>
      </xdr:nvSpPr>
      <xdr:spPr>
        <a:xfrm>
          <a:off x="2575935" y="22976364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xdr:txBody>
    </xdr:sp>
    <xdr:clientData/>
  </xdr:twoCellAnchor>
  <xdr:twoCellAnchor>
    <xdr:from>
      <xdr:col>8</xdr:col>
      <xdr:colOff>224245</xdr:colOff>
      <xdr:row>85</xdr:row>
      <xdr:rowOff>17830</xdr:rowOff>
    </xdr:from>
    <xdr:to>
      <xdr:col>9</xdr:col>
      <xdr:colOff>22009</xdr:colOff>
      <xdr:row>86</xdr:row>
      <xdr:rowOff>3048</xdr:rowOff>
    </xdr:to>
    <xdr:sp macro="" textlink="">
      <xdr:nvSpPr>
        <xdr:cNvPr id="116" name="Прямоугольник 115">
          <a:extLst>
            <a:ext uri="{FF2B5EF4-FFF2-40B4-BE49-F238E27FC236}">
              <a16:creationId xmlns:a16="http://schemas.microsoft.com/office/drawing/2014/main" id="{8DB3C0F0-FB37-2431-E44F-48751A4997E5}"/>
            </a:ext>
          </a:extLst>
        </xdr:cNvPr>
        <xdr:cNvSpPr/>
      </xdr:nvSpPr>
      <xdr:spPr>
        <a:xfrm>
          <a:off x="2904383" y="22739882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xdr:txBody>
    </xdr:sp>
    <xdr:clientData/>
  </xdr:twoCellAnchor>
  <xdr:twoCellAnchor>
    <xdr:from>
      <xdr:col>9</xdr:col>
      <xdr:colOff>99435</xdr:colOff>
      <xdr:row>83</xdr:row>
      <xdr:rowOff>11261</xdr:rowOff>
    </xdr:from>
    <xdr:to>
      <xdr:col>9</xdr:col>
      <xdr:colOff>232216</xdr:colOff>
      <xdr:row>83</xdr:row>
      <xdr:rowOff>186979</xdr:rowOff>
    </xdr:to>
    <xdr:sp macro="" textlink="">
      <xdr:nvSpPr>
        <xdr:cNvPr id="122" name="Прямоугольник 121">
          <a:extLst>
            <a:ext uri="{FF2B5EF4-FFF2-40B4-BE49-F238E27FC236}">
              <a16:creationId xmlns:a16="http://schemas.microsoft.com/office/drawing/2014/main" id="{2F71AAAA-5CAE-E6ED-B3AA-979C9D5C5496}"/>
            </a:ext>
          </a:extLst>
        </xdr:cNvPr>
        <xdr:cNvSpPr/>
      </xdr:nvSpPr>
      <xdr:spPr>
        <a:xfrm>
          <a:off x="3114590" y="22352313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24</a:t>
          </a:r>
        </a:p>
      </xdr:txBody>
    </xdr:sp>
    <xdr:clientData/>
  </xdr:twoCellAnchor>
  <xdr:twoCellAnchor>
    <xdr:from>
      <xdr:col>7</xdr:col>
      <xdr:colOff>289935</xdr:colOff>
      <xdr:row>83</xdr:row>
      <xdr:rowOff>30968</xdr:rowOff>
    </xdr:from>
    <xdr:to>
      <xdr:col>8</xdr:col>
      <xdr:colOff>87699</xdr:colOff>
      <xdr:row>84</xdr:row>
      <xdr:rowOff>16186</xdr:rowOff>
    </xdr:to>
    <xdr:sp macro="" textlink="">
      <xdr:nvSpPr>
        <xdr:cNvPr id="130" name="Прямоугольник 129">
          <a:extLst>
            <a:ext uri="{FF2B5EF4-FFF2-40B4-BE49-F238E27FC236}">
              <a16:creationId xmlns:a16="http://schemas.microsoft.com/office/drawing/2014/main" id="{5D5C1F75-818B-8F70-EC23-238E71D45642}"/>
            </a:ext>
          </a:extLst>
        </xdr:cNvPr>
        <xdr:cNvSpPr/>
      </xdr:nvSpPr>
      <xdr:spPr>
        <a:xfrm>
          <a:off x="2635056" y="22372020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23</a:t>
          </a:r>
        </a:p>
      </xdr:txBody>
    </xdr:sp>
    <xdr:clientData/>
  </xdr:twoCellAnchor>
  <xdr:twoCellAnchor>
    <xdr:from>
      <xdr:col>6</xdr:col>
      <xdr:colOff>230815</xdr:colOff>
      <xdr:row>83</xdr:row>
      <xdr:rowOff>149209</xdr:rowOff>
    </xdr:from>
    <xdr:to>
      <xdr:col>7</xdr:col>
      <xdr:colOff>28578</xdr:colOff>
      <xdr:row>84</xdr:row>
      <xdr:rowOff>134427</xdr:rowOff>
    </xdr:to>
    <xdr:sp macro="" textlink="">
      <xdr:nvSpPr>
        <xdr:cNvPr id="131" name="Прямоугольник 130">
          <a:extLst>
            <a:ext uri="{FF2B5EF4-FFF2-40B4-BE49-F238E27FC236}">
              <a16:creationId xmlns:a16="http://schemas.microsoft.com/office/drawing/2014/main" id="{32B8B2F2-E31B-DDFD-3CE1-2C5925C05F45}"/>
            </a:ext>
          </a:extLst>
        </xdr:cNvPr>
        <xdr:cNvSpPr/>
      </xdr:nvSpPr>
      <xdr:spPr>
        <a:xfrm>
          <a:off x="2240918" y="22490261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22</a:t>
          </a:r>
        </a:p>
      </xdr:txBody>
    </xdr:sp>
    <xdr:clientData/>
  </xdr:twoCellAnchor>
  <xdr:twoCellAnchor>
    <xdr:from>
      <xdr:col>5</xdr:col>
      <xdr:colOff>230815</xdr:colOff>
      <xdr:row>84</xdr:row>
      <xdr:rowOff>76950</xdr:rowOff>
    </xdr:from>
    <xdr:to>
      <xdr:col>6</xdr:col>
      <xdr:colOff>28579</xdr:colOff>
      <xdr:row>85</xdr:row>
      <xdr:rowOff>62168</xdr:rowOff>
    </xdr:to>
    <xdr:sp macro="" textlink="">
      <xdr:nvSpPr>
        <xdr:cNvPr id="132" name="Прямоугольник 131">
          <a:extLst>
            <a:ext uri="{FF2B5EF4-FFF2-40B4-BE49-F238E27FC236}">
              <a16:creationId xmlns:a16="http://schemas.microsoft.com/office/drawing/2014/main" id="{41852E6D-73E1-29FD-01F0-C0E7067D82C4}"/>
            </a:ext>
          </a:extLst>
        </xdr:cNvPr>
        <xdr:cNvSpPr/>
      </xdr:nvSpPr>
      <xdr:spPr>
        <a:xfrm>
          <a:off x="1905901" y="22608502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21</a:t>
          </a:r>
        </a:p>
      </xdr:txBody>
    </xdr:sp>
    <xdr:clientData/>
  </xdr:twoCellAnchor>
  <xdr:twoCellAnchor>
    <xdr:from>
      <xdr:col>4</xdr:col>
      <xdr:colOff>158556</xdr:colOff>
      <xdr:row>85</xdr:row>
      <xdr:rowOff>17830</xdr:rowOff>
    </xdr:from>
    <xdr:to>
      <xdr:col>4</xdr:col>
      <xdr:colOff>291337</xdr:colOff>
      <xdr:row>86</xdr:row>
      <xdr:rowOff>3048</xdr:rowOff>
    </xdr:to>
    <xdr:sp macro="" textlink="">
      <xdr:nvSpPr>
        <xdr:cNvPr id="133" name="Прямоугольник 132">
          <a:extLst>
            <a:ext uri="{FF2B5EF4-FFF2-40B4-BE49-F238E27FC236}">
              <a16:creationId xmlns:a16="http://schemas.microsoft.com/office/drawing/2014/main" id="{C4B43E97-59DD-26FA-C728-280CB56B842F}"/>
            </a:ext>
          </a:extLst>
        </xdr:cNvPr>
        <xdr:cNvSpPr/>
      </xdr:nvSpPr>
      <xdr:spPr>
        <a:xfrm>
          <a:off x="1498625" y="22739882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20</a:t>
          </a:r>
        </a:p>
      </xdr:txBody>
    </xdr:sp>
    <xdr:clientData/>
  </xdr:twoCellAnchor>
  <xdr:twoCellAnchor>
    <xdr:from>
      <xdr:col>4</xdr:col>
      <xdr:colOff>243952</xdr:colOff>
      <xdr:row>83</xdr:row>
      <xdr:rowOff>44106</xdr:rowOff>
    </xdr:from>
    <xdr:to>
      <xdr:col>5</xdr:col>
      <xdr:colOff>41716</xdr:colOff>
      <xdr:row>84</xdr:row>
      <xdr:rowOff>29324</xdr:rowOff>
    </xdr:to>
    <xdr:sp macro="" textlink="">
      <xdr:nvSpPr>
        <xdr:cNvPr id="134" name="Прямоугольник 133">
          <a:extLst>
            <a:ext uri="{FF2B5EF4-FFF2-40B4-BE49-F238E27FC236}">
              <a16:creationId xmlns:a16="http://schemas.microsoft.com/office/drawing/2014/main" id="{4E81893A-2F28-984F-5CD3-282CC6DC96C7}"/>
            </a:ext>
          </a:extLst>
        </xdr:cNvPr>
        <xdr:cNvSpPr/>
      </xdr:nvSpPr>
      <xdr:spPr>
        <a:xfrm>
          <a:off x="1584021" y="22385158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25</a:t>
          </a:r>
        </a:p>
      </xdr:txBody>
    </xdr:sp>
    <xdr:clientData/>
  </xdr:twoCellAnchor>
  <xdr:twoCellAnchor>
    <xdr:from>
      <xdr:col>3</xdr:col>
      <xdr:colOff>158556</xdr:colOff>
      <xdr:row>81</xdr:row>
      <xdr:rowOff>122933</xdr:rowOff>
    </xdr:from>
    <xdr:to>
      <xdr:col>3</xdr:col>
      <xdr:colOff>291337</xdr:colOff>
      <xdr:row>82</xdr:row>
      <xdr:rowOff>108151</xdr:rowOff>
    </xdr:to>
    <xdr:sp macro="" textlink="">
      <xdr:nvSpPr>
        <xdr:cNvPr id="137" name="Прямоугольник 136">
          <a:extLst>
            <a:ext uri="{FF2B5EF4-FFF2-40B4-BE49-F238E27FC236}">
              <a16:creationId xmlns:a16="http://schemas.microsoft.com/office/drawing/2014/main" id="{C49042C1-1FCE-98CB-EDDA-F9D954F3ECCB}"/>
            </a:ext>
          </a:extLst>
        </xdr:cNvPr>
        <xdr:cNvSpPr/>
      </xdr:nvSpPr>
      <xdr:spPr>
        <a:xfrm>
          <a:off x="1163608" y="22082985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26</a:t>
          </a:r>
        </a:p>
      </xdr:txBody>
    </xdr:sp>
    <xdr:clientData/>
  </xdr:twoCellAnchor>
  <xdr:twoCellAnchor>
    <xdr:from>
      <xdr:col>4</xdr:col>
      <xdr:colOff>158556</xdr:colOff>
      <xdr:row>80</xdr:row>
      <xdr:rowOff>96657</xdr:rowOff>
    </xdr:from>
    <xdr:to>
      <xdr:col>4</xdr:col>
      <xdr:colOff>291337</xdr:colOff>
      <xdr:row>81</xdr:row>
      <xdr:rowOff>81875</xdr:rowOff>
    </xdr:to>
    <xdr:sp macro="" textlink="">
      <xdr:nvSpPr>
        <xdr:cNvPr id="138" name="Прямоугольник 137">
          <a:extLst>
            <a:ext uri="{FF2B5EF4-FFF2-40B4-BE49-F238E27FC236}">
              <a16:creationId xmlns:a16="http://schemas.microsoft.com/office/drawing/2014/main" id="{E0174DA0-C395-70D8-E74A-72DDD8F2108C}"/>
            </a:ext>
          </a:extLst>
        </xdr:cNvPr>
        <xdr:cNvSpPr/>
      </xdr:nvSpPr>
      <xdr:spPr>
        <a:xfrm>
          <a:off x="1498625" y="21866209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27</a:t>
          </a:r>
        </a:p>
      </xdr:txBody>
    </xdr:sp>
    <xdr:clientData/>
  </xdr:twoCellAnchor>
  <xdr:twoCellAnchor>
    <xdr:from>
      <xdr:col>5</xdr:col>
      <xdr:colOff>204539</xdr:colOff>
      <xdr:row>79</xdr:row>
      <xdr:rowOff>122933</xdr:rowOff>
    </xdr:from>
    <xdr:to>
      <xdr:col>6</xdr:col>
      <xdr:colOff>2303</xdr:colOff>
      <xdr:row>80</xdr:row>
      <xdr:rowOff>108151</xdr:rowOff>
    </xdr:to>
    <xdr:sp macro="" textlink="">
      <xdr:nvSpPr>
        <xdr:cNvPr id="139" name="Прямоугольник 138">
          <a:extLst>
            <a:ext uri="{FF2B5EF4-FFF2-40B4-BE49-F238E27FC236}">
              <a16:creationId xmlns:a16="http://schemas.microsoft.com/office/drawing/2014/main" id="{89AC7A0A-894D-D3B8-E9D8-4DF0ACF39E32}"/>
            </a:ext>
          </a:extLst>
        </xdr:cNvPr>
        <xdr:cNvSpPr/>
      </xdr:nvSpPr>
      <xdr:spPr>
        <a:xfrm>
          <a:off x="1879625" y="21701985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29</a:t>
          </a:r>
        </a:p>
      </xdr:txBody>
    </xdr:sp>
    <xdr:clientData/>
  </xdr:twoCellAnchor>
  <xdr:twoCellAnchor>
    <xdr:from>
      <xdr:col>6</xdr:col>
      <xdr:colOff>197970</xdr:colOff>
      <xdr:row>81</xdr:row>
      <xdr:rowOff>37537</xdr:rowOff>
    </xdr:from>
    <xdr:to>
      <xdr:col>6</xdr:col>
      <xdr:colOff>330751</xdr:colOff>
      <xdr:row>82</xdr:row>
      <xdr:rowOff>22755</xdr:rowOff>
    </xdr:to>
    <xdr:sp macro="" textlink="">
      <xdr:nvSpPr>
        <xdr:cNvPr id="140" name="Прямоугольник 139">
          <a:extLst>
            <a:ext uri="{FF2B5EF4-FFF2-40B4-BE49-F238E27FC236}">
              <a16:creationId xmlns:a16="http://schemas.microsoft.com/office/drawing/2014/main" id="{5E707E81-7A8F-340A-141E-6C95715985AE}"/>
            </a:ext>
          </a:extLst>
        </xdr:cNvPr>
        <xdr:cNvSpPr/>
      </xdr:nvSpPr>
      <xdr:spPr>
        <a:xfrm>
          <a:off x="2208073" y="21997589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28</a:t>
          </a:r>
        </a:p>
      </xdr:txBody>
    </xdr:sp>
    <xdr:clientData/>
  </xdr:twoCellAnchor>
  <xdr:twoCellAnchor>
    <xdr:from>
      <xdr:col>7</xdr:col>
      <xdr:colOff>276797</xdr:colOff>
      <xdr:row>80</xdr:row>
      <xdr:rowOff>4692</xdr:rowOff>
    </xdr:from>
    <xdr:to>
      <xdr:col>8</xdr:col>
      <xdr:colOff>74561</xdr:colOff>
      <xdr:row>80</xdr:row>
      <xdr:rowOff>180410</xdr:rowOff>
    </xdr:to>
    <xdr:sp macro="" textlink="">
      <xdr:nvSpPr>
        <xdr:cNvPr id="143" name="Прямоугольник 142">
          <a:extLst>
            <a:ext uri="{FF2B5EF4-FFF2-40B4-BE49-F238E27FC236}">
              <a16:creationId xmlns:a16="http://schemas.microsoft.com/office/drawing/2014/main" id="{2B01B0A0-B4EF-CD34-4025-2A58175FEF04}"/>
            </a:ext>
          </a:extLst>
        </xdr:cNvPr>
        <xdr:cNvSpPr/>
      </xdr:nvSpPr>
      <xdr:spPr>
        <a:xfrm>
          <a:off x="2621918" y="21774244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30</a:t>
          </a:r>
        </a:p>
      </xdr:txBody>
    </xdr:sp>
    <xdr:clientData/>
  </xdr:twoCellAnchor>
  <xdr:twoCellAnchor>
    <xdr:from>
      <xdr:col>8</xdr:col>
      <xdr:colOff>329349</xdr:colOff>
      <xdr:row>79</xdr:row>
      <xdr:rowOff>4692</xdr:rowOff>
    </xdr:from>
    <xdr:to>
      <xdr:col>9</xdr:col>
      <xdr:colOff>127113</xdr:colOff>
      <xdr:row>79</xdr:row>
      <xdr:rowOff>180410</xdr:rowOff>
    </xdr:to>
    <xdr:sp macro="" textlink="">
      <xdr:nvSpPr>
        <xdr:cNvPr id="144" name="Прямоугольник 143">
          <a:extLst>
            <a:ext uri="{FF2B5EF4-FFF2-40B4-BE49-F238E27FC236}">
              <a16:creationId xmlns:a16="http://schemas.microsoft.com/office/drawing/2014/main" id="{518D4013-0CA3-5C3E-69C2-84B1A4EF91D2}"/>
            </a:ext>
          </a:extLst>
        </xdr:cNvPr>
        <xdr:cNvSpPr/>
      </xdr:nvSpPr>
      <xdr:spPr>
        <a:xfrm>
          <a:off x="3009487" y="21583744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31</a:t>
          </a:r>
        </a:p>
      </xdr:txBody>
    </xdr:sp>
    <xdr:clientData/>
  </xdr:twoCellAnchor>
  <xdr:twoCellAnchor>
    <xdr:from>
      <xdr:col>9</xdr:col>
      <xdr:colOff>7470</xdr:colOff>
      <xdr:row>76</xdr:row>
      <xdr:rowOff>129502</xdr:rowOff>
    </xdr:from>
    <xdr:to>
      <xdr:col>9</xdr:col>
      <xdr:colOff>140251</xdr:colOff>
      <xdr:row>77</xdr:row>
      <xdr:rowOff>114720</xdr:rowOff>
    </xdr:to>
    <xdr:sp macro="" textlink="">
      <xdr:nvSpPr>
        <xdr:cNvPr id="146" name="Прямоугольник 145">
          <a:extLst>
            <a:ext uri="{FF2B5EF4-FFF2-40B4-BE49-F238E27FC236}">
              <a16:creationId xmlns:a16="http://schemas.microsoft.com/office/drawing/2014/main" id="{4B63FE18-C1D1-97C6-91ED-830DE00E6C04}"/>
            </a:ext>
          </a:extLst>
        </xdr:cNvPr>
        <xdr:cNvSpPr/>
      </xdr:nvSpPr>
      <xdr:spPr>
        <a:xfrm>
          <a:off x="3022625" y="21137054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33</a:t>
          </a:r>
        </a:p>
      </xdr:txBody>
    </xdr:sp>
    <xdr:clientData/>
  </xdr:twoCellAnchor>
  <xdr:twoCellAnchor>
    <xdr:from>
      <xdr:col>7</xdr:col>
      <xdr:colOff>217676</xdr:colOff>
      <xdr:row>77</xdr:row>
      <xdr:rowOff>116364</xdr:rowOff>
    </xdr:from>
    <xdr:to>
      <xdr:col>8</xdr:col>
      <xdr:colOff>15440</xdr:colOff>
      <xdr:row>78</xdr:row>
      <xdr:rowOff>101582</xdr:rowOff>
    </xdr:to>
    <xdr:sp macro="" textlink="">
      <xdr:nvSpPr>
        <xdr:cNvPr id="148" name="Прямоугольник 147">
          <a:extLst>
            <a:ext uri="{FF2B5EF4-FFF2-40B4-BE49-F238E27FC236}">
              <a16:creationId xmlns:a16="http://schemas.microsoft.com/office/drawing/2014/main" id="{56D85A90-0A00-748C-E119-C4BF8E44FE04}"/>
            </a:ext>
          </a:extLst>
        </xdr:cNvPr>
        <xdr:cNvSpPr/>
      </xdr:nvSpPr>
      <xdr:spPr>
        <a:xfrm>
          <a:off x="2562797" y="21314416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32</a:t>
          </a:r>
        </a:p>
      </xdr:txBody>
    </xdr:sp>
    <xdr:clientData/>
  </xdr:twoCellAnchor>
  <xdr:twoCellAnchor>
    <xdr:from>
      <xdr:col>5</xdr:col>
      <xdr:colOff>322780</xdr:colOff>
      <xdr:row>76</xdr:row>
      <xdr:rowOff>122933</xdr:rowOff>
    </xdr:from>
    <xdr:to>
      <xdr:col>6</xdr:col>
      <xdr:colOff>120544</xdr:colOff>
      <xdr:row>77</xdr:row>
      <xdr:rowOff>108151</xdr:rowOff>
    </xdr:to>
    <xdr:sp macro="" textlink="">
      <xdr:nvSpPr>
        <xdr:cNvPr id="150" name="Прямоугольник 149">
          <a:extLst>
            <a:ext uri="{FF2B5EF4-FFF2-40B4-BE49-F238E27FC236}">
              <a16:creationId xmlns:a16="http://schemas.microsoft.com/office/drawing/2014/main" id="{ABC58AD5-C458-6E92-AD7F-806101016E2C}"/>
            </a:ext>
          </a:extLst>
        </xdr:cNvPr>
        <xdr:cNvSpPr/>
      </xdr:nvSpPr>
      <xdr:spPr>
        <a:xfrm>
          <a:off x="1997866" y="21130485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34</a:t>
          </a:r>
        </a:p>
      </xdr:txBody>
    </xdr:sp>
    <xdr:clientData/>
  </xdr:twoCellAnchor>
  <xdr:twoCellAnchor>
    <xdr:from>
      <xdr:col>4</xdr:col>
      <xdr:colOff>283366</xdr:colOff>
      <xdr:row>77</xdr:row>
      <xdr:rowOff>116364</xdr:rowOff>
    </xdr:from>
    <xdr:to>
      <xdr:col>5</xdr:col>
      <xdr:colOff>81130</xdr:colOff>
      <xdr:row>78</xdr:row>
      <xdr:rowOff>101582</xdr:rowOff>
    </xdr:to>
    <xdr:sp macro="" textlink="">
      <xdr:nvSpPr>
        <xdr:cNvPr id="152" name="Прямоугольник 151">
          <a:extLst>
            <a:ext uri="{FF2B5EF4-FFF2-40B4-BE49-F238E27FC236}">
              <a16:creationId xmlns:a16="http://schemas.microsoft.com/office/drawing/2014/main" id="{78D18C27-CD69-5F69-FAC6-7792615AEC61}"/>
            </a:ext>
          </a:extLst>
        </xdr:cNvPr>
        <xdr:cNvSpPr/>
      </xdr:nvSpPr>
      <xdr:spPr>
        <a:xfrm>
          <a:off x="1623435" y="21314416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35</a:t>
          </a:r>
        </a:p>
      </xdr:txBody>
    </xdr:sp>
    <xdr:clientData/>
  </xdr:twoCellAnchor>
  <xdr:twoCellAnchor>
    <xdr:from>
      <xdr:col>3</xdr:col>
      <xdr:colOff>204538</xdr:colOff>
      <xdr:row>78</xdr:row>
      <xdr:rowOff>90088</xdr:rowOff>
    </xdr:from>
    <xdr:to>
      <xdr:col>4</xdr:col>
      <xdr:colOff>2302</xdr:colOff>
      <xdr:row>79</xdr:row>
      <xdr:rowOff>75306</xdr:rowOff>
    </xdr:to>
    <xdr:sp macro="" textlink="">
      <xdr:nvSpPr>
        <xdr:cNvPr id="154" name="Прямоугольник 153">
          <a:extLst>
            <a:ext uri="{FF2B5EF4-FFF2-40B4-BE49-F238E27FC236}">
              <a16:creationId xmlns:a16="http://schemas.microsoft.com/office/drawing/2014/main" id="{A6C46119-AE5E-FE40-D8FD-07A99579DA92}"/>
            </a:ext>
          </a:extLst>
        </xdr:cNvPr>
        <xdr:cNvSpPr/>
      </xdr:nvSpPr>
      <xdr:spPr>
        <a:xfrm>
          <a:off x="1209590" y="21478640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36</a:t>
          </a:r>
        </a:p>
      </xdr:txBody>
    </xdr:sp>
    <xdr:clientData/>
  </xdr:twoCellAnchor>
  <xdr:twoCellAnchor>
    <xdr:from>
      <xdr:col>2</xdr:col>
      <xdr:colOff>151987</xdr:colOff>
      <xdr:row>78</xdr:row>
      <xdr:rowOff>57244</xdr:rowOff>
    </xdr:from>
    <xdr:to>
      <xdr:col>2</xdr:col>
      <xdr:colOff>284768</xdr:colOff>
      <xdr:row>79</xdr:row>
      <xdr:rowOff>42462</xdr:rowOff>
    </xdr:to>
    <xdr:sp macro="" textlink="">
      <xdr:nvSpPr>
        <xdr:cNvPr id="156" name="Прямоугольник 155">
          <a:extLst>
            <a:ext uri="{FF2B5EF4-FFF2-40B4-BE49-F238E27FC236}">
              <a16:creationId xmlns:a16="http://schemas.microsoft.com/office/drawing/2014/main" id="{5B13F543-C316-0C54-CA50-7DD8DA0A94C3}"/>
            </a:ext>
          </a:extLst>
        </xdr:cNvPr>
        <xdr:cNvSpPr/>
      </xdr:nvSpPr>
      <xdr:spPr>
        <a:xfrm>
          <a:off x="822021" y="21445796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37</a:t>
          </a:r>
        </a:p>
      </xdr:txBody>
    </xdr:sp>
    <xdr:clientData/>
  </xdr:twoCellAnchor>
  <xdr:twoCellAnchor>
    <xdr:from>
      <xdr:col>2</xdr:col>
      <xdr:colOff>243953</xdr:colOff>
      <xdr:row>76</xdr:row>
      <xdr:rowOff>50675</xdr:rowOff>
    </xdr:from>
    <xdr:to>
      <xdr:col>3</xdr:col>
      <xdr:colOff>41716</xdr:colOff>
      <xdr:row>77</xdr:row>
      <xdr:rowOff>35893</xdr:rowOff>
    </xdr:to>
    <xdr:sp macro="" textlink="">
      <xdr:nvSpPr>
        <xdr:cNvPr id="164" name="Прямоугольник 163">
          <a:extLst>
            <a:ext uri="{FF2B5EF4-FFF2-40B4-BE49-F238E27FC236}">
              <a16:creationId xmlns:a16="http://schemas.microsoft.com/office/drawing/2014/main" id="{610B8A7C-D154-AA52-59F8-E09D33630C63}"/>
            </a:ext>
          </a:extLst>
        </xdr:cNvPr>
        <xdr:cNvSpPr/>
      </xdr:nvSpPr>
      <xdr:spPr>
        <a:xfrm>
          <a:off x="913987" y="21058227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38</a:t>
          </a:r>
        </a:p>
      </xdr:txBody>
    </xdr:sp>
    <xdr:clientData/>
  </xdr:twoCellAnchor>
  <xdr:twoCellAnchor>
    <xdr:from>
      <xdr:col>2</xdr:col>
      <xdr:colOff>53453</xdr:colOff>
      <xdr:row>73</xdr:row>
      <xdr:rowOff>136071</xdr:rowOff>
    </xdr:from>
    <xdr:to>
      <xdr:col>2</xdr:col>
      <xdr:colOff>186234</xdr:colOff>
      <xdr:row>74</xdr:row>
      <xdr:rowOff>121289</xdr:rowOff>
    </xdr:to>
    <xdr:sp macro="" textlink="">
      <xdr:nvSpPr>
        <xdr:cNvPr id="165" name="Прямоугольник 164">
          <a:extLst>
            <a:ext uri="{FF2B5EF4-FFF2-40B4-BE49-F238E27FC236}">
              <a16:creationId xmlns:a16="http://schemas.microsoft.com/office/drawing/2014/main" id="{0D0FC4A9-E4F9-82CD-2CE4-5554D74BB8F0}"/>
            </a:ext>
          </a:extLst>
        </xdr:cNvPr>
        <xdr:cNvSpPr/>
      </xdr:nvSpPr>
      <xdr:spPr>
        <a:xfrm>
          <a:off x="723487" y="20572123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40</a:t>
          </a:r>
        </a:p>
      </xdr:txBody>
    </xdr:sp>
    <xdr:clientData/>
  </xdr:twoCellAnchor>
  <xdr:twoCellAnchor>
    <xdr:from>
      <xdr:col>3</xdr:col>
      <xdr:colOff>276797</xdr:colOff>
      <xdr:row>75</xdr:row>
      <xdr:rowOff>129502</xdr:rowOff>
    </xdr:from>
    <xdr:to>
      <xdr:col>4</xdr:col>
      <xdr:colOff>74561</xdr:colOff>
      <xdr:row>76</xdr:row>
      <xdr:rowOff>114720</xdr:rowOff>
    </xdr:to>
    <xdr:sp macro="" textlink="">
      <xdr:nvSpPr>
        <xdr:cNvPr id="166" name="Прямоугольник 165">
          <a:extLst>
            <a:ext uri="{FF2B5EF4-FFF2-40B4-BE49-F238E27FC236}">
              <a16:creationId xmlns:a16="http://schemas.microsoft.com/office/drawing/2014/main" id="{7D8BA1BE-0C93-C787-992E-0586D3CAF23A}"/>
            </a:ext>
          </a:extLst>
        </xdr:cNvPr>
        <xdr:cNvSpPr/>
      </xdr:nvSpPr>
      <xdr:spPr>
        <a:xfrm>
          <a:off x="1281849" y="20946554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39</a:t>
          </a:r>
        </a:p>
      </xdr:txBody>
    </xdr:sp>
    <xdr:clientData/>
  </xdr:twoCellAnchor>
  <xdr:twoCellAnchor>
    <xdr:from>
      <xdr:col>1</xdr:col>
      <xdr:colOff>276798</xdr:colOff>
      <xdr:row>70</xdr:row>
      <xdr:rowOff>155778</xdr:rowOff>
    </xdr:from>
    <xdr:to>
      <xdr:col>2</xdr:col>
      <xdr:colOff>74562</xdr:colOff>
      <xdr:row>71</xdr:row>
      <xdr:rowOff>167272</xdr:rowOff>
    </xdr:to>
    <xdr:sp macro="" textlink="">
      <xdr:nvSpPr>
        <xdr:cNvPr id="168" name="Прямоугольник 167">
          <a:extLst>
            <a:ext uri="{FF2B5EF4-FFF2-40B4-BE49-F238E27FC236}">
              <a16:creationId xmlns:a16="http://schemas.microsoft.com/office/drawing/2014/main" id="{690ADEB8-72C6-AAF7-ACC8-52B2AFFDA87E}"/>
            </a:ext>
          </a:extLst>
        </xdr:cNvPr>
        <xdr:cNvSpPr/>
      </xdr:nvSpPr>
      <xdr:spPr>
        <a:xfrm>
          <a:off x="611815" y="20046606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41</a:t>
          </a:r>
        </a:p>
      </xdr:txBody>
    </xdr:sp>
    <xdr:clientData/>
  </xdr:twoCellAnchor>
  <xdr:twoCellAnchor>
    <xdr:from>
      <xdr:col>2</xdr:col>
      <xdr:colOff>171694</xdr:colOff>
      <xdr:row>71</xdr:row>
      <xdr:rowOff>162347</xdr:rowOff>
    </xdr:from>
    <xdr:to>
      <xdr:col>2</xdr:col>
      <xdr:colOff>304475</xdr:colOff>
      <xdr:row>72</xdr:row>
      <xdr:rowOff>147565</xdr:rowOff>
    </xdr:to>
    <xdr:sp macro="" textlink="">
      <xdr:nvSpPr>
        <xdr:cNvPr id="172" name="Прямоугольник 171">
          <a:extLst>
            <a:ext uri="{FF2B5EF4-FFF2-40B4-BE49-F238E27FC236}">
              <a16:creationId xmlns:a16="http://schemas.microsoft.com/office/drawing/2014/main" id="{3DB11ADA-75CB-06D7-C023-2DA4FA8EE180}"/>
            </a:ext>
          </a:extLst>
        </xdr:cNvPr>
        <xdr:cNvSpPr/>
      </xdr:nvSpPr>
      <xdr:spPr>
        <a:xfrm>
          <a:off x="841728" y="20217399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42</a:t>
          </a:r>
        </a:p>
      </xdr:txBody>
    </xdr:sp>
    <xdr:clientData/>
  </xdr:twoCellAnchor>
  <xdr:twoCellAnchor>
    <xdr:from>
      <xdr:col>3</xdr:col>
      <xdr:colOff>92866</xdr:colOff>
      <xdr:row>73</xdr:row>
      <xdr:rowOff>44105</xdr:rowOff>
    </xdr:from>
    <xdr:to>
      <xdr:col>3</xdr:col>
      <xdr:colOff>225647</xdr:colOff>
      <xdr:row>74</xdr:row>
      <xdr:rowOff>29323</xdr:rowOff>
    </xdr:to>
    <xdr:sp macro="" textlink="">
      <xdr:nvSpPr>
        <xdr:cNvPr id="175" name="Прямоугольник 174">
          <a:extLst>
            <a:ext uri="{FF2B5EF4-FFF2-40B4-BE49-F238E27FC236}">
              <a16:creationId xmlns:a16="http://schemas.microsoft.com/office/drawing/2014/main" id="{4FC13AA9-7CC4-61AB-9F9B-9D6163DB2954}"/>
            </a:ext>
          </a:extLst>
        </xdr:cNvPr>
        <xdr:cNvSpPr/>
      </xdr:nvSpPr>
      <xdr:spPr>
        <a:xfrm>
          <a:off x="1097918" y="20480157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43</a:t>
          </a:r>
        </a:p>
      </xdr:txBody>
    </xdr:sp>
    <xdr:clientData/>
  </xdr:twoCellAnchor>
  <xdr:twoCellAnchor>
    <xdr:from>
      <xdr:col>3</xdr:col>
      <xdr:colOff>309642</xdr:colOff>
      <xdr:row>71</xdr:row>
      <xdr:rowOff>4692</xdr:rowOff>
    </xdr:from>
    <xdr:to>
      <xdr:col>4</xdr:col>
      <xdr:colOff>107406</xdr:colOff>
      <xdr:row>71</xdr:row>
      <xdr:rowOff>180410</xdr:rowOff>
    </xdr:to>
    <xdr:sp macro="" textlink="">
      <xdr:nvSpPr>
        <xdr:cNvPr id="176" name="Прямоугольник 175">
          <a:extLst>
            <a:ext uri="{FF2B5EF4-FFF2-40B4-BE49-F238E27FC236}">
              <a16:creationId xmlns:a16="http://schemas.microsoft.com/office/drawing/2014/main" id="{C042AD91-DF54-BFC1-F461-1D237D7A450B}"/>
            </a:ext>
          </a:extLst>
        </xdr:cNvPr>
        <xdr:cNvSpPr/>
      </xdr:nvSpPr>
      <xdr:spPr>
        <a:xfrm>
          <a:off x="1314694" y="20059744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44</a:t>
          </a:r>
        </a:p>
      </xdr:txBody>
    </xdr:sp>
    <xdr:clientData/>
  </xdr:twoCellAnchor>
  <xdr:twoCellAnchor>
    <xdr:from>
      <xdr:col>4</xdr:col>
      <xdr:colOff>303073</xdr:colOff>
      <xdr:row>74</xdr:row>
      <xdr:rowOff>116364</xdr:rowOff>
    </xdr:from>
    <xdr:to>
      <xdr:col>5</xdr:col>
      <xdr:colOff>100837</xdr:colOff>
      <xdr:row>75</xdr:row>
      <xdr:rowOff>101582</xdr:rowOff>
    </xdr:to>
    <xdr:sp macro="" textlink="">
      <xdr:nvSpPr>
        <xdr:cNvPr id="177" name="Прямоугольник 176">
          <a:extLst>
            <a:ext uri="{FF2B5EF4-FFF2-40B4-BE49-F238E27FC236}">
              <a16:creationId xmlns:a16="http://schemas.microsoft.com/office/drawing/2014/main" id="{E6A2CC30-4B52-58A8-5257-58FE022A8BB2}"/>
            </a:ext>
          </a:extLst>
        </xdr:cNvPr>
        <xdr:cNvSpPr/>
      </xdr:nvSpPr>
      <xdr:spPr>
        <a:xfrm>
          <a:off x="1643142" y="20742916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46</a:t>
          </a:r>
        </a:p>
      </xdr:txBody>
    </xdr:sp>
    <xdr:clientData/>
  </xdr:twoCellAnchor>
  <xdr:twoCellAnchor>
    <xdr:from>
      <xdr:col>4</xdr:col>
      <xdr:colOff>178263</xdr:colOff>
      <xdr:row>72</xdr:row>
      <xdr:rowOff>162347</xdr:rowOff>
    </xdr:from>
    <xdr:to>
      <xdr:col>4</xdr:col>
      <xdr:colOff>311044</xdr:colOff>
      <xdr:row>73</xdr:row>
      <xdr:rowOff>147565</xdr:rowOff>
    </xdr:to>
    <xdr:sp macro="" textlink="">
      <xdr:nvSpPr>
        <xdr:cNvPr id="180" name="Прямоугольник 179">
          <a:extLst>
            <a:ext uri="{FF2B5EF4-FFF2-40B4-BE49-F238E27FC236}">
              <a16:creationId xmlns:a16="http://schemas.microsoft.com/office/drawing/2014/main" id="{C6D5BC51-1542-D49B-61A0-8CA2F4069D9B}"/>
            </a:ext>
          </a:extLst>
        </xdr:cNvPr>
        <xdr:cNvSpPr/>
      </xdr:nvSpPr>
      <xdr:spPr>
        <a:xfrm>
          <a:off x="1518332" y="20407899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45</a:t>
          </a:r>
        </a:p>
      </xdr:txBody>
    </xdr:sp>
    <xdr:clientData/>
  </xdr:twoCellAnchor>
  <xdr:twoCellAnchor>
    <xdr:from>
      <xdr:col>5</xdr:col>
      <xdr:colOff>125711</xdr:colOff>
      <xdr:row>70</xdr:row>
      <xdr:rowOff>149209</xdr:rowOff>
    </xdr:from>
    <xdr:to>
      <xdr:col>5</xdr:col>
      <xdr:colOff>258492</xdr:colOff>
      <xdr:row>71</xdr:row>
      <xdr:rowOff>160703</xdr:rowOff>
    </xdr:to>
    <xdr:sp macro="" textlink="">
      <xdr:nvSpPr>
        <xdr:cNvPr id="187" name="Прямоугольник 186">
          <a:extLst>
            <a:ext uri="{FF2B5EF4-FFF2-40B4-BE49-F238E27FC236}">
              <a16:creationId xmlns:a16="http://schemas.microsoft.com/office/drawing/2014/main" id="{BAAF25F2-1FA7-6D78-7646-7754536F8616}"/>
            </a:ext>
          </a:extLst>
        </xdr:cNvPr>
        <xdr:cNvSpPr/>
      </xdr:nvSpPr>
      <xdr:spPr>
        <a:xfrm>
          <a:off x="1800797" y="20040037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47</a:t>
          </a:r>
        </a:p>
      </xdr:txBody>
    </xdr:sp>
    <xdr:clientData/>
  </xdr:twoCellAnchor>
  <xdr:twoCellAnchor>
    <xdr:from>
      <xdr:col>5</xdr:col>
      <xdr:colOff>303073</xdr:colOff>
      <xdr:row>72</xdr:row>
      <xdr:rowOff>142640</xdr:rowOff>
    </xdr:from>
    <xdr:to>
      <xdr:col>6</xdr:col>
      <xdr:colOff>100837</xdr:colOff>
      <xdr:row>73</xdr:row>
      <xdr:rowOff>127858</xdr:rowOff>
    </xdr:to>
    <xdr:sp macro="" textlink="">
      <xdr:nvSpPr>
        <xdr:cNvPr id="190" name="Прямоугольник 189">
          <a:extLst>
            <a:ext uri="{FF2B5EF4-FFF2-40B4-BE49-F238E27FC236}">
              <a16:creationId xmlns:a16="http://schemas.microsoft.com/office/drawing/2014/main" id="{ED45E401-622B-4B1A-4416-B9EA47722606}"/>
            </a:ext>
          </a:extLst>
        </xdr:cNvPr>
        <xdr:cNvSpPr/>
      </xdr:nvSpPr>
      <xdr:spPr>
        <a:xfrm>
          <a:off x="1978159" y="20388192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48</a:t>
          </a:r>
        </a:p>
      </xdr:txBody>
    </xdr:sp>
    <xdr:clientData/>
  </xdr:twoCellAnchor>
  <xdr:twoCellAnchor>
    <xdr:from>
      <xdr:col>6</xdr:col>
      <xdr:colOff>230815</xdr:colOff>
      <xdr:row>71</xdr:row>
      <xdr:rowOff>44106</xdr:rowOff>
    </xdr:from>
    <xdr:to>
      <xdr:col>7</xdr:col>
      <xdr:colOff>28578</xdr:colOff>
      <xdr:row>72</xdr:row>
      <xdr:rowOff>29324</xdr:rowOff>
    </xdr:to>
    <xdr:sp macro="" textlink="">
      <xdr:nvSpPr>
        <xdr:cNvPr id="207" name="Прямоугольник 206">
          <a:extLst>
            <a:ext uri="{FF2B5EF4-FFF2-40B4-BE49-F238E27FC236}">
              <a16:creationId xmlns:a16="http://schemas.microsoft.com/office/drawing/2014/main" id="{673EA23C-5FED-2B33-199C-EC287919FD58}"/>
            </a:ext>
          </a:extLst>
        </xdr:cNvPr>
        <xdr:cNvSpPr/>
      </xdr:nvSpPr>
      <xdr:spPr>
        <a:xfrm>
          <a:off x="2240918" y="20099158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49</a:t>
          </a:r>
        </a:p>
      </xdr:txBody>
    </xdr:sp>
    <xdr:clientData/>
  </xdr:twoCellAnchor>
  <xdr:twoCellAnchor>
    <xdr:from>
      <xdr:col>6</xdr:col>
      <xdr:colOff>237384</xdr:colOff>
      <xdr:row>74</xdr:row>
      <xdr:rowOff>142641</xdr:rowOff>
    </xdr:from>
    <xdr:to>
      <xdr:col>7</xdr:col>
      <xdr:colOff>35147</xdr:colOff>
      <xdr:row>75</xdr:row>
      <xdr:rowOff>127859</xdr:rowOff>
    </xdr:to>
    <xdr:sp macro="" textlink="">
      <xdr:nvSpPr>
        <xdr:cNvPr id="208" name="Прямоугольник 207">
          <a:extLst>
            <a:ext uri="{FF2B5EF4-FFF2-40B4-BE49-F238E27FC236}">
              <a16:creationId xmlns:a16="http://schemas.microsoft.com/office/drawing/2014/main" id="{ACECB91D-E53A-5666-4DC0-2F7FDE2108C9}"/>
            </a:ext>
          </a:extLst>
        </xdr:cNvPr>
        <xdr:cNvSpPr/>
      </xdr:nvSpPr>
      <xdr:spPr>
        <a:xfrm>
          <a:off x="2247487" y="20769193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50</a:t>
          </a:r>
        </a:p>
      </xdr:txBody>
    </xdr:sp>
    <xdr:clientData/>
  </xdr:twoCellAnchor>
  <xdr:twoCellAnchor>
    <xdr:from>
      <xdr:col>7</xdr:col>
      <xdr:colOff>145418</xdr:colOff>
      <xdr:row>74</xdr:row>
      <xdr:rowOff>142641</xdr:rowOff>
    </xdr:from>
    <xdr:to>
      <xdr:col>7</xdr:col>
      <xdr:colOff>278199</xdr:colOff>
      <xdr:row>75</xdr:row>
      <xdr:rowOff>127859</xdr:rowOff>
    </xdr:to>
    <xdr:sp macro="" textlink="">
      <xdr:nvSpPr>
        <xdr:cNvPr id="210" name="Прямоугольник 209">
          <a:extLst>
            <a:ext uri="{FF2B5EF4-FFF2-40B4-BE49-F238E27FC236}">
              <a16:creationId xmlns:a16="http://schemas.microsoft.com/office/drawing/2014/main" id="{3E306974-EA58-F39C-63DC-3474712785E4}"/>
            </a:ext>
          </a:extLst>
        </xdr:cNvPr>
        <xdr:cNvSpPr/>
      </xdr:nvSpPr>
      <xdr:spPr>
        <a:xfrm>
          <a:off x="2490539" y="20769193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52</a:t>
          </a:r>
        </a:p>
      </xdr:txBody>
    </xdr:sp>
    <xdr:clientData/>
  </xdr:twoCellAnchor>
  <xdr:twoCellAnchor>
    <xdr:from>
      <xdr:col>8</xdr:col>
      <xdr:colOff>204539</xdr:colOff>
      <xdr:row>74</xdr:row>
      <xdr:rowOff>129503</xdr:rowOff>
    </xdr:from>
    <xdr:to>
      <xdr:col>9</xdr:col>
      <xdr:colOff>2303</xdr:colOff>
      <xdr:row>75</xdr:row>
      <xdr:rowOff>114721</xdr:rowOff>
    </xdr:to>
    <xdr:sp macro="" textlink="">
      <xdr:nvSpPr>
        <xdr:cNvPr id="211" name="Прямоугольник 210">
          <a:extLst>
            <a:ext uri="{FF2B5EF4-FFF2-40B4-BE49-F238E27FC236}">
              <a16:creationId xmlns:a16="http://schemas.microsoft.com/office/drawing/2014/main" id="{44AE88E7-2A29-B261-D3C1-F15F31E1B8EA}"/>
            </a:ext>
          </a:extLst>
        </xdr:cNvPr>
        <xdr:cNvSpPr/>
      </xdr:nvSpPr>
      <xdr:spPr>
        <a:xfrm>
          <a:off x="2884677" y="20756055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53</a:t>
          </a:r>
        </a:p>
      </xdr:txBody>
    </xdr:sp>
    <xdr:clientData/>
  </xdr:twoCellAnchor>
  <xdr:twoCellAnchor>
    <xdr:from>
      <xdr:col>7</xdr:col>
      <xdr:colOff>178262</xdr:colOff>
      <xdr:row>72</xdr:row>
      <xdr:rowOff>162348</xdr:rowOff>
    </xdr:from>
    <xdr:to>
      <xdr:col>7</xdr:col>
      <xdr:colOff>311043</xdr:colOff>
      <xdr:row>73</xdr:row>
      <xdr:rowOff>147566</xdr:rowOff>
    </xdr:to>
    <xdr:sp macro="" textlink="">
      <xdr:nvSpPr>
        <xdr:cNvPr id="212" name="Прямоугольник 211">
          <a:extLst>
            <a:ext uri="{FF2B5EF4-FFF2-40B4-BE49-F238E27FC236}">
              <a16:creationId xmlns:a16="http://schemas.microsoft.com/office/drawing/2014/main" id="{D9DD1556-E899-FD12-884C-943B2054AB2A}"/>
            </a:ext>
          </a:extLst>
        </xdr:cNvPr>
        <xdr:cNvSpPr/>
      </xdr:nvSpPr>
      <xdr:spPr>
        <a:xfrm>
          <a:off x="2523383" y="20407900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51</a:t>
          </a:r>
        </a:p>
      </xdr:txBody>
    </xdr:sp>
    <xdr:clientData/>
  </xdr:twoCellAnchor>
  <xdr:twoCellAnchor>
    <xdr:from>
      <xdr:col>8</xdr:col>
      <xdr:colOff>243952</xdr:colOff>
      <xdr:row>72</xdr:row>
      <xdr:rowOff>103227</xdr:rowOff>
    </xdr:from>
    <xdr:to>
      <xdr:col>9</xdr:col>
      <xdr:colOff>41716</xdr:colOff>
      <xdr:row>73</xdr:row>
      <xdr:rowOff>88445</xdr:rowOff>
    </xdr:to>
    <xdr:sp macro="" textlink="">
      <xdr:nvSpPr>
        <xdr:cNvPr id="222" name="Прямоугольник 221">
          <a:extLst>
            <a:ext uri="{FF2B5EF4-FFF2-40B4-BE49-F238E27FC236}">
              <a16:creationId xmlns:a16="http://schemas.microsoft.com/office/drawing/2014/main" id="{AFDD0A5B-118D-F4BE-7F63-E24AE4E4D48E}"/>
            </a:ext>
          </a:extLst>
        </xdr:cNvPr>
        <xdr:cNvSpPr/>
      </xdr:nvSpPr>
      <xdr:spPr>
        <a:xfrm>
          <a:off x="2924090" y="20348779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54</a:t>
          </a:r>
        </a:p>
      </xdr:txBody>
    </xdr:sp>
    <xdr:clientData/>
  </xdr:twoCellAnchor>
  <xdr:twoCellAnchor>
    <xdr:from>
      <xdr:col>9</xdr:col>
      <xdr:colOff>158556</xdr:colOff>
      <xdr:row>70</xdr:row>
      <xdr:rowOff>122934</xdr:rowOff>
    </xdr:from>
    <xdr:to>
      <xdr:col>9</xdr:col>
      <xdr:colOff>291337</xdr:colOff>
      <xdr:row>71</xdr:row>
      <xdr:rowOff>134428</xdr:rowOff>
    </xdr:to>
    <xdr:sp macro="" textlink="">
      <xdr:nvSpPr>
        <xdr:cNvPr id="223" name="Прямоугольник 222">
          <a:extLst>
            <a:ext uri="{FF2B5EF4-FFF2-40B4-BE49-F238E27FC236}">
              <a16:creationId xmlns:a16="http://schemas.microsoft.com/office/drawing/2014/main" id="{A959D257-2E27-9501-96F9-4F9A15722A3D}"/>
            </a:ext>
          </a:extLst>
        </xdr:cNvPr>
        <xdr:cNvSpPr/>
      </xdr:nvSpPr>
      <xdr:spPr>
        <a:xfrm>
          <a:off x="3173711" y="20013762"/>
          <a:ext cx="132781" cy="1757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800">
              <a:latin typeface="Arial" panose="020B0604020202020204" pitchFamily="34" charset="0"/>
              <a:cs typeface="Arial" panose="020B0604020202020204" pitchFamily="34" charset="0"/>
            </a:rPr>
            <a:t>55</a:t>
          </a:r>
        </a:p>
      </xdr:txBody>
    </xdr:sp>
    <xdr:clientData/>
  </xdr:twoCellAnchor>
  <xdr:twoCellAnchor>
    <xdr:from>
      <xdr:col>6</xdr:col>
      <xdr:colOff>292628</xdr:colOff>
      <xdr:row>92</xdr:row>
      <xdr:rowOff>118371</xdr:rowOff>
    </xdr:from>
    <xdr:to>
      <xdr:col>7</xdr:col>
      <xdr:colOff>220763</xdr:colOff>
      <xdr:row>94</xdr:row>
      <xdr:rowOff>13564</xdr:rowOff>
    </xdr:to>
    <xdr:sp macro="" textlink="">
      <xdr:nvSpPr>
        <xdr:cNvPr id="225" name="Ромб 224">
          <a:extLst>
            <a:ext uri="{FF2B5EF4-FFF2-40B4-BE49-F238E27FC236}">
              <a16:creationId xmlns:a16="http://schemas.microsoft.com/office/drawing/2014/main" id="{C0AADBB4-6A17-C758-A2E3-0342C2087ABB}"/>
            </a:ext>
          </a:extLst>
        </xdr:cNvPr>
        <xdr:cNvSpPr/>
      </xdr:nvSpPr>
      <xdr:spPr bwMode="auto">
        <a:xfrm>
          <a:off x="2302731" y="2417392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</a:t>
          </a:r>
        </a:p>
      </xdr:txBody>
    </xdr:sp>
    <xdr:clientData/>
  </xdr:twoCellAnchor>
  <xdr:twoCellAnchor>
    <xdr:from>
      <xdr:col>7</xdr:col>
      <xdr:colOff>187524</xdr:colOff>
      <xdr:row>92</xdr:row>
      <xdr:rowOff>13267</xdr:rowOff>
    </xdr:from>
    <xdr:to>
      <xdr:col>8</xdr:col>
      <xdr:colOff>115660</xdr:colOff>
      <xdr:row>93</xdr:row>
      <xdr:rowOff>98960</xdr:rowOff>
    </xdr:to>
    <xdr:sp macro="" textlink="">
      <xdr:nvSpPr>
        <xdr:cNvPr id="226" name="Ромб 225">
          <a:extLst>
            <a:ext uri="{FF2B5EF4-FFF2-40B4-BE49-F238E27FC236}">
              <a16:creationId xmlns:a16="http://schemas.microsoft.com/office/drawing/2014/main" id="{F6E27A17-5ED4-55E6-85F9-FE522D7C50FF}"/>
            </a:ext>
          </a:extLst>
        </xdr:cNvPr>
        <xdr:cNvSpPr/>
      </xdr:nvSpPr>
      <xdr:spPr bwMode="auto">
        <a:xfrm>
          <a:off x="2532645" y="2406881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</a:t>
          </a:r>
        </a:p>
      </xdr:txBody>
    </xdr:sp>
    <xdr:clientData/>
  </xdr:twoCellAnchor>
  <xdr:twoCellAnchor>
    <xdr:from>
      <xdr:col>8</xdr:col>
      <xdr:colOff>88989</xdr:colOff>
      <xdr:row>91</xdr:row>
      <xdr:rowOff>39543</xdr:rowOff>
    </xdr:from>
    <xdr:to>
      <xdr:col>9</xdr:col>
      <xdr:colOff>17125</xdr:colOff>
      <xdr:row>92</xdr:row>
      <xdr:rowOff>125236</xdr:rowOff>
    </xdr:to>
    <xdr:sp macro="" textlink="">
      <xdr:nvSpPr>
        <xdr:cNvPr id="235" name="Ромб 234">
          <a:extLst>
            <a:ext uri="{FF2B5EF4-FFF2-40B4-BE49-F238E27FC236}">
              <a16:creationId xmlns:a16="http://schemas.microsoft.com/office/drawing/2014/main" id="{E2A6A94E-4AE2-E831-D7F1-5503B8C2CC8C}"/>
            </a:ext>
          </a:extLst>
        </xdr:cNvPr>
        <xdr:cNvSpPr/>
      </xdr:nvSpPr>
      <xdr:spPr bwMode="auto">
        <a:xfrm>
          <a:off x="2769127" y="23904595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</a:t>
          </a:r>
        </a:p>
      </xdr:txBody>
    </xdr:sp>
    <xdr:clientData/>
  </xdr:twoCellAnchor>
  <xdr:twoCellAnchor>
    <xdr:from>
      <xdr:col>8</xdr:col>
      <xdr:colOff>187524</xdr:colOff>
      <xdr:row>92</xdr:row>
      <xdr:rowOff>65819</xdr:rowOff>
    </xdr:from>
    <xdr:to>
      <xdr:col>9</xdr:col>
      <xdr:colOff>115660</xdr:colOff>
      <xdr:row>93</xdr:row>
      <xdr:rowOff>151512</xdr:rowOff>
    </xdr:to>
    <xdr:sp macro="" textlink="">
      <xdr:nvSpPr>
        <xdr:cNvPr id="236" name="Ромб 235">
          <a:extLst>
            <a:ext uri="{FF2B5EF4-FFF2-40B4-BE49-F238E27FC236}">
              <a16:creationId xmlns:a16="http://schemas.microsoft.com/office/drawing/2014/main" id="{98214D7B-0180-CDA9-9662-604AED95622A}"/>
            </a:ext>
          </a:extLst>
        </xdr:cNvPr>
        <xdr:cNvSpPr/>
      </xdr:nvSpPr>
      <xdr:spPr bwMode="auto">
        <a:xfrm>
          <a:off x="2867662" y="2412137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</a:t>
          </a:r>
        </a:p>
      </xdr:txBody>
    </xdr:sp>
    <xdr:clientData/>
  </xdr:twoCellAnchor>
  <xdr:twoCellAnchor>
    <xdr:from>
      <xdr:col>9</xdr:col>
      <xdr:colOff>174386</xdr:colOff>
      <xdr:row>91</xdr:row>
      <xdr:rowOff>32974</xdr:rowOff>
    </xdr:from>
    <xdr:to>
      <xdr:col>10</xdr:col>
      <xdr:colOff>102522</xdr:colOff>
      <xdr:row>92</xdr:row>
      <xdr:rowOff>118667</xdr:rowOff>
    </xdr:to>
    <xdr:sp macro="" textlink="">
      <xdr:nvSpPr>
        <xdr:cNvPr id="237" name="Ромб 236">
          <a:extLst>
            <a:ext uri="{FF2B5EF4-FFF2-40B4-BE49-F238E27FC236}">
              <a16:creationId xmlns:a16="http://schemas.microsoft.com/office/drawing/2014/main" id="{55AE448A-48C9-F757-F2C1-710CC0F5E9B0}"/>
            </a:ext>
          </a:extLst>
        </xdr:cNvPr>
        <xdr:cNvSpPr/>
      </xdr:nvSpPr>
      <xdr:spPr bwMode="auto">
        <a:xfrm>
          <a:off x="3189541" y="2389802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endParaRPr lang="ru-RU" sz="8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292627</xdr:colOff>
      <xdr:row>90</xdr:row>
      <xdr:rowOff>78957</xdr:rowOff>
    </xdr:from>
    <xdr:to>
      <xdr:col>9</xdr:col>
      <xdr:colOff>220763</xdr:colOff>
      <xdr:row>91</xdr:row>
      <xdr:rowOff>164650</xdr:rowOff>
    </xdr:to>
    <xdr:sp macro="" textlink="">
      <xdr:nvSpPr>
        <xdr:cNvPr id="238" name="Ромб 237">
          <a:extLst>
            <a:ext uri="{FF2B5EF4-FFF2-40B4-BE49-F238E27FC236}">
              <a16:creationId xmlns:a16="http://schemas.microsoft.com/office/drawing/2014/main" id="{C216459E-317D-1D52-CDDE-D8EECAF951A5}"/>
            </a:ext>
          </a:extLst>
        </xdr:cNvPr>
        <xdr:cNvSpPr/>
      </xdr:nvSpPr>
      <xdr:spPr bwMode="auto">
        <a:xfrm>
          <a:off x="2972765" y="2375350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</a:t>
          </a:r>
        </a:p>
      </xdr:txBody>
    </xdr:sp>
    <xdr:clientData/>
  </xdr:twoCellAnchor>
  <xdr:twoCellAnchor>
    <xdr:from>
      <xdr:col>5</xdr:col>
      <xdr:colOff>318904</xdr:colOff>
      <xdr:row>92</xdr:row>
      <xdr:rowOff>59250</xdr:rowOff>
    </xdr:from>
    <xdr:to>
      <xdr:col>6</xdr:col>
      <xdr:colOff>247040</xdr:colOff>
      <xdr:row>93</xdr:row>
      <xdr:rowOff>144943</xdr:rowOff>
    </xdr:to>
    <xdr:sp macro="" textlink="">
      <xdr:nvSpPr>
        <xdr:cNvPr id="239" name="Ромб 238">
          <a:extLst>
            <a:ext uri="{FF2B5EF4-FFF2-40B4-BE49-F238E27FC236}">
              <a16:creationId xmlns:a16="http://schemas.microsoft.com/office/drawing/2014/main" id="{446C01D6-DC19-9904-F402-FF1B02879B90}"/>
            </a:ext>
          </a:extLst>
        </xdr:cNvPr>
        <xdr:cNvSpPr/>
      </xdr:nvSpPr>
      <xdr:spPr bwMode="auto">
        <a:xfrm>
          <a:off x="1993990" y="2411480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</a:t>
          </a:r>
        </a:p>
      </xdr:txBody>
    </xdr:sp>
    <xdr:clientData/>
  </xdr:twoCellAnchor>
  <xdr:twoCellAnchor>
    <xdr:from>
      <xdr:col>5</xdr:col>
      <xdr:colOff>200662</xdr:colOff>
      <xdr:row>90</xdr:row>
      <xdr:rowOff>177491</xdr:rowOff>
    </xdr:from>
    <xdr:to>
      <xdr:col>6</xdr:col>
      <xdr:colOff>128798</xdr:colOff>
      <xdr:row>92</xdr:row>
      <xdr:rowOff>72684</xdr:rowOff>
    </xdr:to>
    <xdr:sp macro="" textlink="">
      <xdr:nvSpPr>
        <xdr:cNvPr id="240" name="Ромб 239">
          <a:extLst>
            <a:ext uri="{FF2B5EF4-FFF2-40B4-BE49-F238E27FC236}">
              <a16:creationId xmlns:a16="http://schemas.microsoft.com/office/drawing/2014/main" id="{7BD654B9-FAB0-5551-F5F6-546459E1AB73}"/>
            </a:ext>
          </a:extLst>
        </xdr:cNvPr>
        <xdr:cNvSpPr/>
      </xdr:nvSpPr>
      <xdr:spPr bwMode="auto">
        <a:xfrm>
          <a:off x="1875748" y="2385204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8</a:t>
          </a:r>
        </a:p>
      </xdr:txBody>
    </xdr:sp>
    <xdr:clientData/>
  </xdr:twoCellAnchor>
  <xdr:twoCellAnchor>
    <xdr:from>
      <xdr:col>6</xdr:col>
      <xdr:colOff>16731</xdr:colOff>
      <xdr:row>90</xdr:row>
      <xdr:rowOff>13267</xdr:rowOff>
    </xdr:from>
    <xdr:to>
      <xdr:col>6</xdr:col>
      <xdr:colOff>279884</xdr:colOff>
      <xdr:row>91</xdr:row>
      <xdr:rowOff>98960</xdr:rowOff>
    </xdr:to>
    <xdr:sp macro="" textlink="">
      <xdr:nvSpPr>
        <xdr:cNvPr id="241" name="Ромб 240">
          <a:extLst>
            <a:ext uri="{FF2B5EF4-FFF2-40B4-BE49-F238E27FC236}">
              <a16:creationId xmlns:a16="http://schemas.microsoft.com/office/drawing/2014/main" id="{5B9C5F81-695B-3DA6-1498-94072F92B026}"/>
            </a:ext>
          </a:extLst>
        </xdr:cNvPr>
        <xdr:cNvSpPr/>
      </xdr:nvSpPr>
      <xdr:spPr bwMode="auto">
        <a:xfrm>
          <a:off x="2026834" y="2368781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9</a:t>
          </a:r>
        </a:p>
      </xdr:txBody>
    </xdr:sp>
    <xdr:clientData/>
  </xdr:twoCellAnchor>
  <xdr:twoCellAnchor>
    <xdr:from>
      <xdr:col>6</xdr:col>
      <xdr:colOff>240076</xdr:colOff>
      <xdr:row>90</xdr:row>
      <xdr:rowOff>151215</xdr:rowOff>
    </xdr:from>
    <xdr:to>
      <xdr:col>7</xdr:col>
      <xdr:colOff>168211</xdr:colOff>
      <xdr:row>92</xdr:row>
      <xdr:rowOff>46408</xdr:rowOff>
    </xdr:to>
    <xdr:sp macro="" textlink="">
      <xdr:nvSpPr>
        <xdr:cNvPr id="275" name="Ромб 274">
          <a:extLst>
            <a:ext uri="{FF2B5EF4-FFF2-40B4-BE49-F238E27FC236}">
              <a16:creationId xmlns:a16="http://schemas.microsoft.com/office/drawing/2014/main" id="{428B0169-FAB3-0DA0-29FA-44F48D4D9B11}"/>
            </a:ext>
          </a:extLst>
        </xdr:cNvPr>
        <xdr:cNvSpPr/>
      </xdr:nvSpPr>
      <xdr:spPr bwMode="auto">
        <a:xfrm>
          <a:off x="2250179" y="2382576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0</a:t>
          </a:r>
        </a:p>
      </xdr:txBody>
    </xdr:sp>
    <xdr:clientData/>
  </xdr:twoCellAnchor>
  <xdr:twoCellAnchor>
    <xdr:from>
      <xdr:col>7</xdr:col>
      <xdr:colOff>108696</xdr:colOff>
      <xdr:row>90</xdr:row>
      <xdr:rowOff>59249</xdr:rowOff>
    </xdr:from>
    <xdr:to>
      <xdr:col>8</xdr:col>
      <xdr:colOff>36832</xdr:colOff>
      <xdr:row>91</xdr:row>
      <xdr:rowOff>144942</xdr:rowOff>
    </xdr:to>
    <xdr:sp macro="" textlink="">
      <xdr:nvSpPr>
        <xdr:cNvPr id="276" name="Ромб 275">
          <a:extLst>
            <a:ext uri="{FF2B5EF4-FFF2-40B4-BE49-F238E27FC236}">
              <a16:creationId xmlns:a16="http://schemas.microsoft.com/office/drawing/2014/main" id="{CC28B0DB-B0E9-521B-A442-362AAA82F6C0}"/>
            </a:ext>
          </a:extLst>
        </xdr:cNvPr>
        <xdr:cNvSpPr/>
      </xdr:nvSpPr>
      <xdr:spPr bwMode="auto">
        <a:xfrm>
          <a:off x="2453817" y="2373380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1</a:t>
          </a:r>
        </a:p>
      </xdr:txBody>
    </xdr:sp>
    <xdr:clientData/>
  </xdr:twoCellAnchor>
  <xdr:twoCellAnchor>
    <xdr:from>
      <xdr:col>7</xdr:col>
      <xdr:colOff>10162</xdr:colOff>
      <xdr:row>89</xdr:row>
      <xdr:rowOff>59249</xdr:rowOff>
    </xdr:from>
    <xdr:to>
      <xdr:col>7</xdr:col>
      <xdr:colOff>273315</xdr:colOff>
      <xdr:row>90</xdr:row>
      <xdr:rowOff>144942</xdr:rowOff>
    </xdr:to>
    <xdr:sp macro="" textlink="">
      <xdr:nvSpPr>
        <xdr:cNvPr id="277" name="Ромб 276">
          <a:extLst>
            <a:ext uri="{FF2B5EF4-FFF2-40B4-BE49-F238E27FC236}">
              <a16:creationId xmlns:a16="http://schemas.microsoft.com/office/drawing/2014/main" id="{BF262B47-FAC3-70AF-C0AF-B9E78EA01393}"/>
            </a:ext>
          </a:extLst>
        </xdr:cNvPr>
        <xdr:cNvSpPr/>
      </xdr:nvSpPr>
      <xdr:spPr bwMode="auto">
        <a:xfrm>
          <a:off x="2355283" y="2354330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2</a:t>
          </a:r>
        </a:p>
      </xdr:txBody>
    </xdr:sp>
    <xdr:clientData/>
  </xdr:twoCellAnchor>
  <xdr:twoCellAnchor>
    <xdr:from>
      <xdr:col>7</xdr:col>
      <xdr:colOff>246644</xdr:colOff>
      <xdr:row>89</xdr:row>
      <xdr:rowOff>59249</xdr:rowOff>
    </xdr:from>
    <xdr:to>
      <xdr:col>8</xdr:col>
      <xdr:colOff>174780</xdr:colOff>
      <xdr:row>90</xdr:row>
      <xdr:rowOff>144942</xdr:rowOff>
    </xdr:to>
    <xdr:sp macro="" textlink="">
      <xdr:nvSpPr>
        <xdr:cNvPr id="278" name="Ромб 277">
          <a:extLst>
            <a:ext uri="{FF2B5EF4-FFF2-40B4-BE49-F238E27FC236}">
              <a16:creationId xmlns:a16="http://schemas.microsoft.com/office/drawing/2014/main" id="{FD83FDAF-1C6A-0F8C-97F5-A1CDB3F6E434}"/>
            </a:ext>
          </a:extLst>
        </xdr:cNvPr>
        <xdr:cNvSpPr/>
      </xdr:nvSpPr>
      <xdr:spPr bwMode="auto">
        <a:xfrm>
          <a:off x="2591765" y="2354330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3</a:t>
          </a:r>
        </a:p>
      </xdr:txBody>
    </xdr:sp>
    <xdr:clientData/>
  </xdr:twoCellAnchor>
  <xdr:twoCellAnchor>
    <xdr:from>
      <xdr:col>8</xdr:col>
      <xdr:colOff>187524</xdr:colOff>
      <xdr:row>88</xdr:row>
      <xdr:rowOff>177491</xdr:rowOff>
    </xdr:from>
    <xdr:to>
      <xdr:col>9</xdr:col>
      <xdr:colOff>115660</xdr:colOff>
      <xdr:row>90</xdr:row>
      <xdr:rowOff>72684</xdr:rowOff>
    </xdr:to>
    <xdr:sp macro="" textlink="">
      <xdr:nvSpPr>
        <xdr:cNvPr id="280" name="Ромб 279">
          <a:extLst>
            <a:ext uri="{FF2B5EF4-FFF2-40B4-BE49-F238E27FC236}">
              <a16:creationId xmlns:a16="http://schemas.microsoft.com/office/drawing/2014/main" id="{2B59F685-BA03-D04F-8DBB-39C3C246AE2D}"/>
            </a:ext>
          </a:extLst>
        </xdr:cNvPr>
        <xdr:cNvSpPr/>
      </xdr:nvSpPr>
      <xdr:spPr bwMode="auto">
        <a:xfrm>
          <a:off x="2867662" y="2347104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4</a:t>
          </a:r>
        </a:p>
      </xdr:txBody>
    </xdr:sp>
    <xdr:clientData/>
  </xdr:twoCellAnchor>
  <xdr:twoCellAnchor>
    <xdr:from>
      <xdr:col>9</xdr:col>
      <xdr:colOff>82421</xdr:colOff>
      <xdr:row>87</xdr:row>
      <xdr:rowOff>6697</xdr:rowOff>
    </xdr:from>
    <xdr:to>
      <xdr:col>10</xdr:col>
      <xdr:colOff>10557</xdr:colOff>
      <xdr:row>88</xdr:row>
      <xdr:rowOff>92390</xdr:rowOff>
    </xdr:to>
    <xdr:sp macro="" textlink="">
      <xdr:nvSpPr>
        <xdr:cNvPr id="287" name="Ромб 286">
          <a:extLst>
            <a:ext uri="{FF2B5EF4-FFF2-40B4-BE49-F238E27FC236}">
              <a16:creationId xmlns:a16="http://schemas.microsoft.com/office/drawing/2014/main" id="{DD9E0D7D-6172-17EE-3652-974FB6B1B3D2}"/>
            </a:ext>
          </a:extLst>
        </xdr:cNvPr>
        <xdr:cNvSpPr/>
      </xdr:nvSpPr>
      <xdr:spPr bwMode="auto">
        <a:xfrm>
          <a:off x="3097576" y="2310974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6</a:t>
          </a:r>
        </a:p>
      </xdr:txBody>
    </xdr:sp>
    <xdr:clientData/>
  </xdr:twoCellAnchor>
  <xdr:twoCellAnchor>
    <xdr:from>
      <xdr:col>8</xdr:col>
      <xdr:colOff>187524</xdr:colOff>
      <xdr:row>87</xdr:row>
      <xdr:rowOff>78956</xdr:rowOff>
    </xdr:from>
    <xdr:to>
      <xdr:col>9</xdr:col>
      <xdr:colOff>115660</xdr:colOff>
      <xdr:row>88</xdr:row>
      <xdr:rowOff>164649</xdr:rowOff>
    </xdr:to>
    <xdr:sp macro="" textlink="">
      <xdr:nvSpPr>
        <xdr:cNvPr id="288" name="Ромб 287">
          <a:extLst>
            <a:ext uri="{FF2B5EF4-FFF2-40B4-BE49-F238E27FC236}">
              <a16:creationId xmlns:a16="http://schemas.microsoft.com/office/drawing/2014/main" id="{51E57261-45F1-5EB7-18CD-0A4B4DF473F9}"/>
            </a:ext>
          </a:extLst>
        </xdr:cNvPr>
        <xdr:cNvSpPr/>
      </xdr:nvSpPr>
      <xdr:spPr bwMode="auto">
        <a:xfrm>
          <a:off x="2867662" y="2318200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5</a:t>
          </a:r>
        </a:p>
      </xdr:txBody>
    </xdr:sp>
    <xdr:clientData/>
  </xdr:twoCellAnchor>
  <xdr:twoCellAnchor>
    <xdr:from>
      <xdr:col>7</xdr:col>
      <xdr:colOff>167817</xdr:colOff>
      <xdr:row>87</xdr:row>
      <xdr:rowOff>105232</xdr:rowOff>
    </xdr:from>
    <xdr:to>
      <xdr:col>8</xdr:col>
      <xdr:colOff>95953</xdr:colOff>
      <xdr:row>89</xdr:row>
      <xdr:rowOff>425</xdr:rowOff>
    </xdr:to>
    <xdr:sp macro="" textlink="">
      <xdr:nvSpPr>
        <xdr:cNvPr id="305" name="Ромб 304">
          <a:extLst>
            <a:ext uri="{FF2B5EF4-FFF2-40B4-BE49-F238E27FC236}">
              <a16:creationId xmlns:a16="http://schemas.microsoft.com/office/drawing/2014/main" id="{18F516BC-2EFD-910A-AB18-81A1042487E4}"/>
            </a:ext>
          </a:extLst>
        </xdr:cNvPr>
        <xdr:cNvSpPr/>
      </xdr:nvSpPr>
      <xdr:spPr bwMode="auto">
        <a:xfrm>
          <a:off x="2512938" y="23208284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7</a:t>
          </a:r>
        </a:p>
      </xdr:txBody>
    </xdr:sp>
    <xdr:clientData/>
  </xdr:twoCellAnchor>
  <xdr:twoCellAnchor>
    <xdr:from>
      <xdr:col>6</xdr:col>
      <xdr:colOff>134973</xdr:colOff>
      <xdr:row>88</xdr:row>
      <xdr:rowOff>85525</xdr:rowOff>
    </xdr:from>
    <xdr:to>
      <xdr:col>7</xdr:col>
      <xdr:colOff>63108</xdr:colOff>
      <xdr:row>89</xdr:row>
      <xdr:rowOff>171218</xdr:rowOff>
    </xdr:to>
    <xdr:sp macro="" textlink="">
      <xdr:nvSpPr>
        <xdr:cNvPr id="314" name="Ромб 313">
          <a:extLst>
            <a:ext uri="{FF2B5EF4-FFF2-40B4-BE49-F238E27FC236}">
              <a16:creationId xmlns:a16="http://schemas.microsoft.com/office/drawing/2014/main" id="{E20B3BE8-7F54-07BE-26E0-DA63712EB698}"/>
            </a:ext>
          </a:extLst>
        </xdr:cNvPr>
        <xdr:cNvSpPr/>
      </xdr:nvSpPr>
      <xdr:spPr bwMode="auto">
        <a:xfrm>
          <a:off x="2145076" y="2337907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8</a:t>
          </a:r>
        </a:p>
      </xdr:txBody>
    </xdr:sp>
    <xdr:clientData/>
  </xdr:twoCellAnchor>
  <xdr:twoCellAnchor>
    <xdr:from>
      <xdr:col>5</xdr:col>
      <xdr:colOff>220369</xdr:colOff>
      <xdr:row>88</xdr:row>
      <xdr:rowOff>85525</xdr:rowOff>
    </xdr:from>
    <xdr:to>
      <xdr:col>6</xdr:col>
      <xdr:colOff>148505</xdr:colOff>
      <xdr:row>89</xdr:row>
      <xdr:rowOff>171218</xdr:rowOff>
    </xdr:to>
    <xdr:sp macro="" textlink="">
      <xdr:nvSpPr>
        <xdr:cNvPr id="315" name="Ромб 314">
          <a:extLst>
            <a:ext uri="{FF2B5EF4-FFF2-40B4-BE49-F238E27FC236}">
              <a16:creationId xmlns:a16="http://schemas.microsoft.com/office/drawing/2014/main" id="{31770ADC-223A-00BF-C20C-14C0B4987F23}"/>
            </a:ext>
          </a:extLst>
        </xdr:cNvPr>
        <xdr:cNvSpPr/>
      </xdr:nvSpPr>
      <xdr:spPr bwMode="auto">
        <a:xfrm>
          <a:off x="1895455" y="2337907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800">
              <a:latin typeface="Times New Roman" pitchFamily="18" charset="0"/>
              <a:cs typeface="Times New Roman" pitchFamily="18" charset="0"/>
            </a:rPr>
            <a:t>1</a:t>
          </a:r>
          <a:r>
            <a:rPr lang="ru-RU" sz="800">
              <a:latin typeface="Times New Roman" pitchFamily="18" charset="0"/>
              <a:cs typeface="Times New Roman" pitchFamily="18" charset="0"/>
            </a:rPr>
            <a:t>9</a:t>
          </a:r>
        </a:p>
      </xdr:txBody>
    </xdr:sp>
    <xdr:clientData/>
  </xdr:twoCellAnchor>
  <xdr:twoCellAnchor>
    <xdr:from>
      <xdr:col>4</xdr:col>
      <xdr:colOff>240076</xdr:colOff>
      <xdr:row>88</xdr:row>
      <xdr:rowOff>19835</xdr:rowOff>
    </xdr:from>
    <xdr:to>
      <xdr:col>5</xdr:col>
      <xdr:colOff>168212</xdr:colOff>
      <xdr:row>89</xdr:row>
      <xdr:rowOff>105528</xdr:rowOff>
    </xdr:to>
    <xdr:sp macro="" textlink="">
      <xdr:nvSpPr>
        <xdr:cNvPr id="316" name="Ромб 315">
          <a:extLst>
            <a:ext uri="{FF2B5EF4-FFF2-40B4-BE49-F238E27FC236}">
              <a16:creationId xmlns:a16="http://schemas.microsoft.com/office/drawing/2014/main" id="{042005FA-E272-3B14-B99A-502C3146CCAA}"/>
            </a:ext>
          </a:extLst>
        </xdr:cNvPr>
        <xdr:cNvSpPr/>
      </xdr:nvSpPr>
      <xdr:spPr bwMode="auto">
        <a:xfrm>
          <a:off x="1580145" y="2331338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20</a:t>
          </a:r>
        </a:p>
      </xdr:txBody>
    </xdr:sp>
    <xdr:clientData/>
  </xdr:twoCellAnchor>
  <xdr:twoCellAnchor>
    <xdr:from>
      <xdr:col>5</xdr:col>
      <xdr:colOff>200662</xdr:colOff>
      <xdr:row>86</xdr:row>
      <xdr:rowOff>144646</xdr:rowOff>
    </xdr:from>
    <xdr:to>
      <xdr:col>6</xdr:col>
      <xdr:colOff>128798</xdr:colOff>
      <xdr:row>88</xdr:row>
      <xdr:rowOff>39839</xdr:rowOff>
    </xdr:to>
    <xdr:sp macro="" textlink="">
      <xdr:nvSpPr>
        <xdr:cNvPr id="317" name="Ромб 316">
          <a:extLst>
            <a:ext uri="{FF2B5EF4-FFF2-40B4-BE49-F238E27FC236}">
              <a16:creationId xmlns:a16="http://schemas.microsoft.com/office/drawing/2014/main" id="{C84E21D9-0412-A493-64DC-FC760CE171D4}"/>
            </a:ext>
          </a:extLst>
        </xdr:cNvPr>
        <xdr:cNvSpPr/>
      </xdr:nvSpPr>
      <xdr:spPr bwMode="auto">
        <a:xfrm>
          <a:off x="1875748" y="2305719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21</a:t>
          </a:r>
        </a:p>
      </xdr:txBody>
    </xdr:sp>
    <xdr:clientData/>
  </xdr:twoCellAnchor>
  <xdr:twoCellAnchor>
    <xdr:from>
      <xdr:col>6</xdr:col>
      <xdr:colOff>207231</xdr:colOff>
      <xdr:row>86</xdr:row>
      <xdr:rowOff>157783</xdr:rowOff>
    </xdr:from>
    <xdr:to>
      <xdr:col>7</xdr:col>
      <xdr:colOff>135366</xdr:colOff>
      <xdr:row>88</xdr:row>
      <xdr:rowOff>52976</xdr:rowOff>
    </xdr:to>
    <xdr:sp macro="" textlink="">
      <xdr:nvSpPr>
        <xdr:cNvPr id="326" name="Ромб 325">
          <a:extLst>
            <a:ext uri="{FF2B5EF4-FFF2-40B4-BE49-F238E27FC236}">
              <a16:creationId xmlns:a16="http://schemas.microsoft.com/office/drawing/2014/main" id="{0F346755-9F54-1B61-8BD4-8B3C125F6794}"/>
            </a:ext>
          </a:extLst>
        </xdr:cNvPr>
        <xdr:cNvSpPr/>
      </xdr:nvSpPr>
      <xdr:spPr bwMode="auto">
        <a:xfrm>
          <a:off x="2217334" y="23070335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22</a:t>
          </a:r>
        </a:p>
      </xdr:txBody>
    </xdr:sp>
    <xdr:clientData/>
  </xdr:twoCellAnchor>
  <xdr:twoCellAnchor>
    <xdr:from>
      <xdr:col>7</xdr:col>
      <xdr:colOff>318903</xdr:colOff>
      <xdr:row>86</xdr:row>
      <xdr:rowOff>52680</xdr:rowOff>
    </xdr:from>
    <xdr:to>
      <xdr:col>8</xdr:col>
      <xdr:colOff>247039</xdr:colOff>
      <xdr:row>87</xdr:row>
      <xdr:rowOff>138373</xdr:rowOff>
    </xdr:to>
    <xdr:sp macro="" textlink="">
      <xdr:nvSpPr>
        <xdr:cNvPr id="327" name="Ромб 326">
          <a:extLst>
            <a:ext uri="{FF2B5EF4-FFF2-40B4-BE49-F238E27FC236}">
              <a16:creationId xmlns:a16="http://schemas.microsoft.com/office/drawing/2014/main" id="{AC689BD8-70AA-2586-B1B0-81F7D592E9CF}"/>
            </a:ext>
          </a:extLst>
        </xdr:cNvPr>
        <xdr:cNvSpPr/>
      </xdr:nvSpPr>
      <xdr:spPr bwMode="auto">
        <a:xfrm>
          <a:off x="2664024" y="2296523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23</a:t>
          </a:r>
        </a:p>
      </xdr:txBody>
    </xdr:sp>
    <xdr:clientData/>
  </xdr:twoCellAnchor>
  <xdr:twoCellAnchor>
    <xdr:from>
      <xdr:col>8</xdr:col>
      <xdr:colOff>299196</xdr:colOff>
      <xdr:row>85</xdr:row>
      <xdr:rowOff>184059</xdr:rowOff>
    </xdr:from>
    <xdr:to>
      <xdr:col>9</xdr:col>
      <xdr:colOff>227332</xdr:colOff>
      <xdr:row>87</xdr:row>
      <xdr:rowOff>79252</xdr:rowOff>
    </xdr:to>
    <xdr:sp macro="" textlink="">
      <xdr:nvSpPr>
        <xdr:cNvPr id="328" name="Ромб 327">
          <a:extLst>
            <a:ext uri="{FF2B5EF4-FFF2-40B4-BE49-F238E27FC236}">
              <a16:creationId xmlns:a16="http://schemas.microsoft.com/office/drawing/2014/main" id="{AC2FEC46-F0CD-244E-A103-F6BE5F2987D1}"/>
            </a:ext>
          </a:extLst>
        </xdr:cNvPr>
        <xdr:cNvSpPr/>
      </xdr:nvSpPr>
      <xdr:spPr bwMode="auto">
        <a:xfrm>
          <a:off x="2979334" y="2290611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24</a:t>
          </a:r>
        </a:p>
      </xdr:txBody>
    </xdr:sp>
    <xdr:clientData/>
  </xdr:twoCellAnchor>
  <xdr:twoCellAnchor>
    <xdr:from>
      <xdr:col>8</xdr:col>
      <xdr:colOff>299196</xdr:colOff>
      <xdr:row>84</xdr:row>
      <xdr:rowOff>52680</xdr:rowOff>
    </xdr:from>
    <xdr:to>
      <xdr:col>9</xdr:col>
      <xdr:colOff>227332</xdr:colOff>
      <xdr:row>85</xdr:row>
      <xdr:rowOff>138373</xdr:rowOff>
    </xdr:to>
    <xdr:sp macro="" textlink="">
      <xdr:nvSpPr>
        <xdr:cNvPr id="329" name="Ромб 328">
          <a:extLst>
            <a:ext uri="{FF2B5EF4-FFF2-40B4-BE49-F238E27FC236}">
              <a16:creationId xmlns:a16="http://schemas.microsoft.com/office/drawing/2014/main" id="{3C4EA135-B916-3E9E-C416-44FD48E87B4C}"/>
            </a:ext>
          </a:extLst>
        </xdr:cNvPr>
        <xdr:cNvSpPr/>
      </xdr:nvSpPr>
      <xdr:spPr bwMode="auto">
        <a:xfrm>
          <a:off x="2979334" y="2258423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25</a:t>
          </a:r>
        </a:p>
      </xdr:txBody>
    </xdr:sp>
    <xdr:clientData/>
  </xdr:twoCellAnchor>
  <xdr:twoCellAnchor>
    <xdr:from>
      <xdr:col>7</xdr:col>
      <xdr:colOff>332041</xdr:colOff>
      <xdr:row>83</xdr:row>
      <xdr:rowOff>124939</xdr:rowOff>
    </xdr:from>
    <xdr:to>
      <xdr:col>8</xdr:col>
      <xdr:colOff>260177</xdr:colOff>
      <xdr:row>85</xdr:row>
      <xdr:rowOff>20132</xdr:rowOff>
    </xdr:to>
    <xdr:sp macro="" textlink="">
      <xdr:nvSpPr>
        <xdr:cNvPr id="330" name="Ромб 329">
          <a:extLst>
            <a:ext uri="{FF2B5EF4-FFF2-40B4-BE49-F238E27FC236}">
              <a16:creationId xmlns:a16="http://schemas.microsoft.com/office/drawing/2014/main" id="{BDCED155-811B-215B-23EA-E0471F9FBF3B}"/>
            </a:ext>
          </a:extLst>
        </xdr:cNvPr>
        <xdr:cNvSpPr/>
      </xdr:nvSpPr>
      <xdr:spPr bwMode="auto">
        <a:xfrm>
          <a:off x="2677162" y="2246599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26</a:t>
          </a:r>
        </a:p>
      </xdr:txBody>
    </xdr:sp>
    <xdr:clientData/>
  </xdr:twoCellAnchor>
  <xdr:twoCellAnchor>
    <xdr:from>
      <xdr:col>7</xdr:col>
      <xdr:colOff>82420</xdr:colOff>
      <xdr:row>84</xdr:row>
      <xdr:rowOff>151215</xdr:rowOff>
    </xdr:from>
    <xdr:to>
      <xdr:col>8</xdr:col>
      <xdr:colOff>10556</xdr:colOff>
      <xdr:row>86</xdr:row>
      <xdr:rowOff>46408</xdr:rowOff>
    </xdr:to>
    <xdr:sp macro="" textlink="">
      <xdr:nvSpPr>
        <xdr:cNvPr id="331" name="Ромб 330">
          <a:extLst>
            <a:ext uri="{FF2B5EF4-FFF2-40B4-BE49-F238E27FC236}">
              <a16:creationId xmlns:a16="http://schemas.microsoft.com/office/drawing/2014/main" id="{8328E0BB-E14A-E073-A9B0-03061DEE00C0}"/>
            </a:ext>
          </a:extLst>
        </xdr:cNvPr>
        <xdr:cNvSpPr/>
      </xdr:nvSpPr>
      <xdr:spPr bwMode="auto">
        <a:xfrm>
          <a:off x="2427541" y="2268276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27</a:t>
          </a:r>
        </a:p>
      </xdr:txBody>
    </xdr:sp>
    <xdr:clientData/>
  </xdr:twoCellAnchor>
  <xdr:twoCellAnchor>
    <xdr:from>
      <xdr:col>6</xdr:col>
      <xdr:colOff>161249</xdr:colOff>
      <xdr:row>84</xdr:row>
      <xdr:rowOff>138077</xdr:rowOff>
    </xdr:from>
    <xdr:to>
      <xdr:col>7</xdr:col>
      <xdr:colOff>89384</xdr:colOff>
      <xdr:row>86</xdr:row>
      <xdr:rowOff>33270</xdr:rowOff>
    </xdr:to>
    <xdr:sp macro="" textlink="">
      <xdr:nvSpPr>
        <xdr:cNvPr id="332" name="Ромб 331">
          <a:extLst>
            <a:ext uri="{FF2B5EF4-FFF2-40B4-BE49-F238E27FC236}">
              <a16:creationId xmlns:a16="http://schemas.microsoft.com/office/drawing/2014/main" id="{F1F2792E-5F23-B7C6-8360-8CC0EF380328}"/>
            </a:ext>
          </a:extLst>
        </xdr:cNvPr>
        <xdr:cNvSpPr/>
      </xdr:nvSpPr>
      <xdr:spPr bwMode="auto">
        <a:xfrm>
          <a:off x="2171352" y="2266962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28</a:t>
          </a:r>
        </a:p>
      </xdr:txBody>
    </xdr:sp>
    <xdr:clientData/>
  </xdr:twoCellAnchor>
  <xdr:twoCellAnchor>
    <xdr:from>
      <xdr:col>5</xdr:col>
      <xdr:colOff>95559</xdr:colOff>
      <xdr:row>85</xdr:row>
      <xdr:rowOff>59249</xdr:rowOff>
    </xdr:from>
    <xdr:to>
      <xdr:col>6</xdr:col>
      <xdr:colOff>23695</xdr:colOff>
      <xdr:row>86</xdr:row>
      <xdr:rowOff>144942</xdr:rowOff>
    </xdr:to>
    <xdr:sp macro="" textlink="">
      <xdr:nvSpPr>
        <xdr:cNvPr id="333" name="Ромб 332">
          <a:extLst>
            <a:ext uri="{FF2B5EF4-FFF2-40B4-BE49-F238E27FC236}">
              <a16:creationId xmlns:a16="http://schemas.microsoft.com/office/drawing/2014/main" id="{47EA4EFD-2C31-A4AB-E279-B1BF9FC17227}"/>
            </a:ext>
          </a:extLst>
        </xdr:cNvPr>
        <xdr:cNvSpPr/>
      </xdr:nvSpPr>
      <xdr:spPr bwMode="auto">
        <a:xfrm>
          <a:off x="1770645" y="2278130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29</a:t>
          </a:r>
        </a:p>
      </xdr:txBody>
    </xdr:sp>
    <xdr:clientData/>
  </xdr:twoCellAnchor>
  <xdr:twoCellAnchor>
    <xdr:from>
      <xdr:col>4</xdr:col>
      <xdr:colOff>167817</xdr:colOff>
      <xdr:row>86</xdr:row>
      <xdr:rowOff>13266</xdr:rowOff>
    </xdr:from>
    <xdr:to>
      <xdr:col>5</xdr:col>
      <xdr:colOff>95953</xdr:colOff>
      <xdr:row>87</xdr:row>
      <xdr:rowOff>98959</xdr:rowOff>
    </xdr:to>
    <xdr:sp macro="" textlink="">
      <xdr:nvSpPr>
        <xdr:cNvPr id="334" name="Ромб 333">
          <a:extLst>
            <a:ext uri="{FF2B5EF4-FFF2-40B4-BE49-F238E27FC236}">
              <a16:creationId xmlns:a16="http://schemas.microsoft.com/office/drawing/2014/main" id="{73F988FB-922A-668A-4FAA-563D385D621C}"/>
            </a:ext>
          </a:extLst>
        </xdr:cNvPr>
        <xdr:cNvSpPr/>
      </xdr:nvSpPr>
      <xdr:spPr bwMode="auto">
        <a:xfrm>
          <a:off x="1507886" y="2292581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30</a:t>
          </a:r>
        </a:p>
      </xdr:txBody>
    </xdr:sp>
    <xdr:clientData/>
  </xdr:twoCellAnchor>
  <xdr:twoCellAnchor>
    <xdr:from>
      <xdr:col>3</xdr:col>
      <xdr:colOff>246644</xdr:colOff>
      <xdr:row>83</xdr:row>
      <xdr:rowOff>78956</xdr:rowOff>
    </xdr:from>
    <xdr:to>
      <xdr:col>4</xdr:col>
      <xdr:colOff>174780</xdr:colOff>
      <xdr:row>84</xdr:row>
      <xdr:rowOff>164649</xdr:rowOff>
    </xdr:to>
    <xdr:sp macro="" textlink="">
      <xdr:nvSpPr>
        <xdr:cNvPr id="335" name="Ромб 334">
          <a:extLst>
            <a:ext uri="{FF2B5EF4-FFF2-40B4-BE49-F238E27FC236}">
              <a16:creationId xmlns:a16="http://schemas.microsoft.com/office/drawing/2014/main" id="{E341C8E7-580F-8FB1-DCEC-8CE754F2537D}"/>
            </a:ext>
          </a:extLst>
        </xdr:cNvPr>
        <xdr:cNvSpPr/>
      </xdr:nvSpPr>
      <xdr:spPr bwMode="auto">
        <a:xfrm>
          <a:off x="1251696" y="2242000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32</a:t>
          </a:r>
        </a:p>
      </xdr:txBody>
    </xdr:sp>
    <xdr:clientData/>
  </xdr:twoCellAnchor>
  <xdr:twoCellAnchor>
    <xdr:from>
      <xdr:col>4</xdr:col>
      <xdr:colOff>246645</xdr:colOff>
      <xdr:row>84</xdr:row>
      <xdr:rowOff>19835</xdr:rowOff>
    </xdr:from>
    <xdr:to>
      <xdr:col>5</xdr:col>
      <xdr:colOff>174781</xdr:colOff>
      <xdr:row>85</xdr:row>
      <xdr:rowOff>105528</xdr:rowOff>
    </xdr:to>
    <xdr:sp macro="" textlink="">
      <xdr:nvSpPr>
        <xdr:cNvPr id="336" name="Ромб 335">
          <a:extLst>
            <a:ext uri="{FF2B5EF4-FFF2-40B4-BE49-F238E27FC236}">
              <a16:creationId xmlns:a16="http://schemas.microsoft.com/office/drawing/2014/main" id="{AC676392-2B8D-4D1D-7244-1B20AF4F645C}"/>
            </a:ext>
          </a:extLst>
        </xdr:cNvPr>
        <xdr:cNvSpPr/>
      </xdr:nvSpPr>
      <xdr:spPr bwMode="auto">
        <a:xfrm>
          <a:off x="1586714" y="2255138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31</a:t>
          </a:r>
        </a:p>
      </xdr:txBody>
    </xdr:sp>
    <xdr:clientData/>
  </xdr:twoCellAnchor>
  <xdr:twoCellAnchor>
    <xdr:from>
      <xdr:col>5</xdr:col>
      <xdr:colOff>95559</xdr:colOff>
      <xdr:row>82</xdr:row>
      <xdr:rowOff>157784</xdr:rowOff>
    </xdr:from>
    <xdr:to>
      <xdr:col>6</xdr:col>
      <xdr:colOff>23695</xdr:colOff>
      <xdr:row>84</xdr:row>
      <xdr:rowOff>52977</xdr:rowOff>
    </xdr:to>
    <xdr:sp macro="" textlink="">
      <xdr:nvSpPr>
        <xdr:cNvPr id="337" name="Ромб 336">
          <a:extLst>
            <a:ext uri="{FF2B5EF4-FFF2-40B4-BE49-F238E27FC236}">
              <a16:creationId xmlns:a16="http://schemas.microsoft.com/office/drawing/2014/main" id="{7B6C8328-6DCB-6514-05AC-3CBB437E12B0}"/>
            </a:ext>
          </a:extLst>
        </xdr:cNvPr>
        <xdr:cNvSpPr/>
      </xdr:nvSpPr>
      <xdr:spPr bwMode="auto">
        <a:xfrm>
          <a:off x="1770645" y="2230833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33</a:t>
          </a:r>
        </a:p>
      </xdr:txBody>
    </xdr:sp>
    <xdr:clientData/>
  </xdr:twoCellAnchor>
  <xdr:twoCellAnchor>
    <xdr:from>
      <xdr:col>5</xdr:col>
      <xdr:colOff>312334</xdr:colOff>
      <xdr:row>83</xdr:row>
      <xdr:rowOff>138077</xdr:rowOff>
    </xdr:from>
    <xdr:to>
      <xdr:col>6</xdr:col>
      <xdr:colOff>240470</xdr:colOff>
      <xdr:row>85</xdr:row>
      <xdr:rowOff>33270</xdr:rowOff>
    </xdr:to>
    <xdr:sp macro="" textlink="">
      <xdr:nvSpPr>
        <xdr:cNvPr id="338" name="Ромб 337">
          <a:extLst>
            <a:ext uri="{FF2B5EF4-FFF2-40B4-BE49-F238E27FC236}">
              <a16:creationId xmlns:a16="http://schemas.microsoft.com/office/drawing/2014/main" id="{ECAC21A0-D9AD-3EB2-D1A4-B5EC1A345C53}"/>
            </a:ext>
          </a:extLst>
        </xdr:cNvPr>
        <xdr:cNvSpPr/>
      </xdr:nvSpPr>
      <xdr:spPr bwMode="auto">
        <a:xfrm>
          <a:off x="1987420" y="2247912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34</a:t>
          </a:r>
        </a:p>
      </xdr:txBody>
    </xdr:sp>
    <xdr:clientData/>
  </xdr:twoCellAnchor>
  <xdr:twoCellAnchor>
    <xdr:from>
      <xdr:col>6</xdr:col>
      <xdr:colOff>56145</xdr:colOff>
      <xdr:row>82</xdr:row>
      <xdr:rowOff>92094</xdr:rowOff>
    </xdr:from>
    <xdr:to>
      <xdr:col>6</xdr:col>
      <xdr:colOff>319298</xdr:colOff>
      <xdr:row>83</xdr:row>
      <xdr:rowOff>177787</xdr:rowOff>
    </xdr:to>
    <xdr:sp macro="" textlink="">
      <xdr:nvSpPr>
        <xdr:cNvPr id="339" name="Ромб 338">
          <a:extLst>
            <a:ext uri="{FF2B5EF4-FFF2-40B4-BE49-F238E27FC236}">
              <a16:creationId xmlns:a16="http://schemas.microsoft.com/office/drawing/2014/main" id="{9AC69070-8A16-AD99-B978-0D5402B0A678}"/>
            </a:ext>
          </a:extLst>
        </xdr:cNvPr>
        <xdr:cNvSpPr/>
      </xdr:nvSpPr>
      <xdr:spPr bwMode="auto">
        <a:xfrm>
          <a:off x="2066248" y="2224264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35</a:t>
          </a:r>
        </a:p>
      </xdr:txBody>
    </xdr:sp>
    <xdr:clientData/>
  </xdr:twoCellAnchor>
  <xdr:twoCellAnchor>
    <xdr:from>
      <xdr:col>6</xdr:col>
      <xdr:colOff>318904</xdr:colOff>
      <xdr:row>83</xdr:row>
      <xdr:rowOff>6697</xdr:rowOff>
    </xdr:from>
    <xdr:to>
      <xdr:col>7</xdr:col>
      <xdr:colOff>247039</xdr:colOff>
      <xdr:row>84</xdr:row>
      <xdr:rowOff>92390</xdr:rowOff>
    </xdr:to>
    <xdr:sp macro="" textlink="">
      <xdr:nvSpPr>
        <xdr:cNvPr id="348" name="Ромб 347">
          <a:extLst>
            <a:ext uri="{FF2B5EF4-FFF2-40B4-BE49-F238E27FC236}">
              <a16:creationId xmlns:a16="http://schemas.microsoft.com/office/drawing/2014/main" id="{CA053753-5802-CDC9-106A-11A2810DBE6E}"/>
            </a:ext>
          </a:extLst>
        </xdr:cNvPr>
        <xdr:cNvSpPr/>
      </xdr:nvSpPr>
      <xdr:spPr bwMode="auto">
        <a:xfrm>
          <a:off x="2329007" y="2234774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36</a:t>
          </a:r>
        </a:p>
      </xdr:txBody>
    </xdr:sp>
    <xdr:clientData/>
  </xdr:twoCellAnchor>
  <xdr:twoCellAnchor>
    <xdr:from>
      <xdr:col>7</xdr:col>
      <xdr:colOff>121834</xdr:colOff>
      <xdr:row>81</xdr:row>
      <xdr:rowOff>164353</xdr:rowOff>
    </xdr:from>
    <xdr:to>
      <xdr:col>8</xdr:col>
      <xdr:colOff>49970</xdr:colOff>
      <xdr:row>83</xdr:row>
      <xdr:rowOff>59546</xdr:rowOff>
    </xdr:to>
    <xdr:sp macro="" textlink="">
      <xdr:nvSpPr>
        <xdr:cNvPr id="349" name="Ромб 348">
          <a:extLst>
            <a:ext uri="{FF2B5EF4-FFF2-40B4-BE49-F238E27FC236}">
              <a16:creationId xmlns:a16="http://schemas.microsoft.com/office/drawing/2014/main" id="{3AE59A12-F0E6-39DC-DF57-AD94268C6AF4}"/>
            </a:ext>
          </a:extLst>
        </xdr:cNvPr>
        <xdr:cNvSpPr/>
      </xdr:nvSpPr>
      <xdr:spPr bwMode="auto">
        <a:xfrm>
          <a:off x="2466955" y="22124405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37</a:t>
          </a:r>
        </a:p>
      </xdr:txBody>
    </xdr:sp>
    <xdr:clientData/>
  </xdr:twoCellAnchor>
  <xdr:twoCellAnchor>
    <xdr:from>
      <xdr:col>8</xdr:col>
      <xdr:colOff>69283</xdr:colOff>
      <xdr:row>82</xdr:row>
      <xdr:rowOff>98663</xdr:rowOff>
    </xdr:from>
    <xdr:to>
      <xdr:col>8</xdr:col>
      <xdr:colOff>332436</xdr:colOff>
      <xdr:row>83</xdr:row>
      <xdr:rowOff>184356</xdr:rowOff>
    </xdr:to>
    <xdr:sp macro="" textlink="">
      <xdr:nvSpPr>
        <xdr:cNvPr id="350" name="Ромб 349">
          <a:extLst>
            <a:ext uri="{FF2B5EF4-FFF2-40B4-BE49-F238E27FC236}">
              <a16:creationId xmlns:a16="http://schemas.microsoft.com/office/drawing/2014/main" id="{9B7BAB8F-05B8-B17C-0FAD-115795990A86}"/>
            </a:ext>
          </a:extLst>
        </xdr:cNvPr>
        <xdr:cNvSpPr/>
      </xdr:nvSpPr>
      <xdr:spPr bwMode="auto">
        <a:xfrm>
          <a:off x="2749421" y="22249215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38</a:t>
          </a:r>
        </a:p>
      </xdr:txBody>
    </xdr:sp>
    <xdr:clientData/>
  </xdr:twoCellAnchor>
  <xdr:twoCellAnchor>
    <xdr:from>
      <xdr:col>8</xdr:col>
      <xdr:colOff>272921</xdr:colOff>
      <xdr:row>81</xdr:row>
      <xdr:rowOff>144646</xdr:rowOff>
    </xdr:from>
    <xdr:to>
      <xdr:col>9</xdr:col>
      <xdr:colOff>201057</xdr:colOff>
      <xdr:row>83</xdr:row>
      <xdr:rowOff>39839</xdr:rowOff>
    </xdr:to>
    <xdr:sp macro="" textlink="">
      <xdr:nvSpPr>
        <xdr:cNvPr id="351" name="Ромб 350">
          <a:extLst>
            <a:ext uri="{FF2B5EF4-FFF2-40B4-BE49-F238E27FC236}">
              <a16:creationId xmlns:a16="http://schemas.microsoft.com/office/drawing/2014/main" id="{A4218C24-D74C-9DA6-BD94-4B7A3C716E82}"/>
            </a:ext>
          </a:extLst>
        </xdr:cNvPr>
        <xdr:cNvSpPr/>
      </xdr:nvSpPr>
      <xdr:spPr bwMode="auto">
        <a:xfrm>
          <a:off x="2953059" y="2210469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39</a:t>
          </a:r>
        </a:p>
      </xdr:txBody>
    </xdr:sp>
    <xdr:clientData/>
  </xdr:twoCellAnchor>
  <xdr:twoCellAnchor>
    <xdr:from>
      <xdr:col>8</xdr:col>
      <xdr:colOff>299196</xdr:colOff>
      <xdr:row>80</xdr:row>
      <xdr:rowOff>46111</xdr:rowOff>
    </xdr:from>
    <xdr:to>
      <xdr:col>9</xdr:col>
      <xdr:colOff>227332</xdr:colOff>
      <xdr:row>81</xdr:row>
      <xdr:rowOff>131804</xdr:rowOff>
    </xdr:to>
    <xdr:sp macro="" textlink="">
      <xdr:nvSpPr>
        <xdr:cNvPr id="352" name="Ромб 351">
          <a:extLst>
            <a:ext uri="{FF2B5EF4-FFF2-40B4-BE49-F238E27FC236}">
              <a16:creationId xmlns:a16="http://schemas.microsoft.com/office/drawing/2014/main" id="{6D28F931-006B-5271-42B6-3B3D5554A723}"/>
            </a:ext>
          </a:extLst>
        </xdr:cNvPr>
        <xdr:cNvSpPr/>
      </xdr:nvSpPr>
      <xdr:spPr bwMode="auto">
        <a:xfrm>
          <a:off x="2979334" y="2181566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40</a:t>
          </a:r>
        </a:p>
      </xdr:txBody>
    </xdr:sp>
    <xdr:clientData/>
  </xdr:twoCellAnchor>
  <xdr:twoCellAnchor>
    <xdr:from>
      <xdr:col>8</xdr:col>
      <xdr:colOff>10162</xdr:colOff>
      <xdr:row>80</xdr:row>
      <xdr:rowOff>157784</xdr:rowOff>
    </xdr:from>
    <xdr:to>
      <xdr:col>8</xdr:col>
      <xdr:colOff>273315</xdr:colOff>
      <xdr:row>82</xdr:row>
      <xdr:rowOff>52977</xdr:rowOff>
    </xdr:to>
    <xdr:sp macro="" textlink="">
      <xdr:nvSpPr>
        <xdr:cNvPr id="353" name="Ромб 352">
          <a:extLst>
            <a:ext uri="{FF2B5EF4-FFF2-40B4-BE49-F238E27FC236}">
              <a16:creationId xmlns:a16="http://schemas.microsoft.com/office/drawing/2014/main" id="{042D6D60-2209-A5EA-25FC-36EB51B8744F}"/>
            </a:ext>
          </a:extLst>
        </xdr:cNvPr>
        <xdr:cNvSpPr/>
      </xdr:nvSpPr>
      <xdr:spPr bwMode="auto">
        <a:xfrm>
          <a:off x="2690300" y="2192733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41</a:t>
          </a:r>
        </a:p>
      </xdr:txBody>
    </xdr:sp>
    <xdr:clientData/>
  </xdr:twoCellAnchor>
  <xdr:twoCellAnchor>
    <xdr:from>
      <xdr:col>7</xdr:col>
      <xdr:colOff>3593</xdr:colOff>
      <xdr:row>80</xdr:row>
      <xdr:rowOff>105232</xdr:rowOff>
    </xdr:from>
    <xdr:to>
      <xdr:col>7</xdr:col>
      <xdr:colOff>266746</xdr:colOff>
      <xdr:row>82</xdr:row>
      <xdr:rowOff>425</xdr:rowOff>
    </xdr:to>
    <xdr:sp macro="" textlink="">
      <xdr:nvSpPr>
        <xdr:cNvPr id="354" name="Ромб 353">
          <a:extLst>
            <a:ext uri="{FF2B5EF4-FFF2-40B4-BE49-F238E27FC236}">
              <a16:creationId xmlns:a16="http://schemas.microsoft.com/office/drawing/2014/main" id="{C130C215-050B-FD83-3AF8-12836DDF0AF0}"/>
            </a:ext>
          </a:extLst>
        </xdr:cNvPr>
        <xdr:cNvSpPr/>
      </xdr:nvSpPr>
      <xdr:spPr bwMode="auto">
        <a:xfrm>
          <a:off x="2348714" y="21874784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42</a:t>
          </a:r>
        </a:p>
      </xdr:txBody>
    </xdr:sp>
    <xdr:clientData/>
  </xdr:twoCellAnchor>
  <xdr:twoCellAnchor>
    <xdr:from>
      <xdr:col>5</xdr:col>
      <xdr:colOff>220369</xdr:colOff>
      <xdr:row>81</xdr:row>
      <xdr:rowOff>46111</xdr:rowOff>
    </xdr:from>
    <xdr:to>
      <xdr:col>6</xdr:col>
      <xdr:colOff>148505</xdr:colOff>
      <xdr:row>82</xdr:row>
      <xdr:rowOff>131804</xdr:rowOff>
    </xdr:to>
    <xdr:sp macro="" textlink="">
      <xdr:nvSpPr>
        <xdr:cNvPr id="355" name="Ромб 354">
          <a:extLst>
            <a:ext uri="{FF2B5EF4-FFF2-40B4-BE49-F238E27FC236}">
              <a16:creationId xmlns:a16="http://schemas.microsoft.com/office/drawing/2014/main" id="{985806E9-2ADE-3541-2C77-1CD39CA60B94}"/>
            </a:ext>
          </a:extLst>
        </xdr:cNvPr>
        <xdr:cNvSpPr/>
      </xdr:nvSpPr>
      <xdr:spPr bwMode="auto">
        <a:xfrm>
          <a:off x="1895455" y="2200616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43</a:t>
          </a:r>
        </a:p>
      </xdr:txBody>
    </xdr:sp>
    <xdr:clientData/>
  </xdr:twoCellAnchor>
  <xdr:twoCellAnchor>
    <xdr:from>
      <xdr:col>4</xdr:col>
      <xdr:colOff>286058</xdr:colOff>
      <xdr:row>80</xdr:row>
      <xdr:rowOff>118370</xdr:rowOff>
    </xdr:from>
    <xdr:to>
      <xdr:col>5</xdr:col>
      <xdr:colOff>214194</xdr:colOff>
      <xdr:row>82</xdr:row>
      <xdr:rowOff>13563</xdr:rowOff>
    </xdr:to>
    <xdr:sp macro="" textlink="">
      <xdr:nvSpPr>
        <xdr:cNvPr id="356" name="Ромб 355">
          <a:extLst>
            <a:ext uri="{FF2B5EF4-FFF2-40B4-BE49-F238E27FC236}">
              <a16:creationId xmlns:a16="http://schemas.microsoft.com/office/drawing/2014/main" id="{69215FCE-445C-E369-37DD-323973DE437C}"/>
            </a:ext>
          </a:extLst>
        </xdr:cNvPr>
        <xdr:cNvSpPr/>
      </xdr:nvSpPr>
      <xdr:spPr bwMode="auto">
        <a:xfrm>
          <a:off x="1626127" y="2188792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44</a:t>
          </a:r>
        </a:p>
      </xdr:txBody>
    </xdr:sp>
    <xdr:clientData/>
  </xdr:twoCellAnchor>
  <xdr:twoCellAnchor>
    <xdr:from>
      <xdr:col>4</xdr:col>
      <xdr:colOff>128403</xdr:colOff>
      <xdr:row>81</xdr:row>
      <xdr:rowOff>177491</xdr:rowOff>
    </xdr:from>
    <xdr:to>
      <xdr:col>5</xdr:col>
      <xdr:colOff>56539</xdr:colOff>
      <xdr:row>83</xdr:row>
      <xdr:rowOff>72684</xdr:rowOff>
    </xdr:to>
    <xdr:sp macro="" textlink="">
      <xdr:nvSpPr>
        <xdr:cNvPr id="357" name="Ромб 356">
          <a:extLst>
            <a:ext uri="{FF2B5EF4-FFF2-40B4-BE49-F238E27FC236}">
              <a16:creationId xmlns:a16="http://schemas.microsoft.com/office/drawing/2014/main" id="{7C879EEC-116A-0B8F-1267-9FA8477A56AD}"/>
            </a:ext>
          </a:extLst>
        </xdr:cNvPr>
        <xdr:cNvSpPr/>
      </xdr:nvSpPr>
      <xdr:spPr bwMode="auto">
        <a:xfrm>
          <a:off x="1468472" y="2213754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45</a:t>
          </a:r>
        </a:p>
      </xdr:txBody>
    </xdr:sp>
    <xdr:clientData/>
  </xdr:twoCellAnchor>
  <xdr:twoCellAnchor>
    <xdr:from>
      <xdr:col>3</xdr:col>
      <xdr:colOff>233507</xdr:colOff>
      <xdr:row>80</xdr:row>
      <xdr:rowOff>124939</xdr:rowOff>
    </xdr:from>
    <xdr:to>
      <xdr:col>4</xdr:col>
      <xdr:colOff>161643</xdr:colOff>
      <xdr:row>82</xdr:row>
      <xdr:rowOff>20132</xdr:rowOff>
    </xdr:to>
    <xdr:sp macro="" textlink="">
      <xdr:nvSpPr>
        <xdr:cNvPr id="358" name="Ромб 357">
          <a:extLst>
            <a:ext uri="{FF2B5EF4-FFF2-40B4-BE49-F238E27FC236}">
              <a16:creationId xmlns:a16="http://schemas.microsoft.com/office/drawing/2014/main" id="{18172C35-49A9-A8A0-B5A0-89B85756184E}"/>
            </a:ext>
          </a:extLst>
        </xdr:cNvPr>
        <xdr:cNvSpPr/>
      </xdr:nvSpPr>
      <xdr:spPr bwMode="auto">
        <a:xfrm>
          <a:off x="1238559" y="2189449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46</a:t>
          </a:r>
        </a:p>
      </xdr:txBody>
    </xdr:sp>
    <xdr:clientData/>
  </xdr:twoCellAnchor>
  <xdr:twoCellAnchor>
    <xdr:from>
      <xdr:col>2</xdr:col>
      <xdr:colOff>259783</xdr:colOff>
      <xdr:row>80</xdr:row>
      <xdr:rowOff>72387</xdr:rowOff>
    </xdr:from>
    <xdr:to>
      <xdr:col>3</xdr:col>
      <xdr:colOff>187918</xdr:colOff>
      <xdr:row>81</xdr:row>
      <xdr:rowOff>158080</xdr:rowOff>
    </xdr:to>
    <xdr:sp macro="" textlink="">
      <xdr:nvSpPr>
        <xdr:cNvPr id="359" name="Ромб 358">
          <a:extLst>
            <a:ext uri="{FF2B5EF4-FFF2-40B4-BE49-F238E27FC236}">
              <a16:creationId xmlns:a16="http://schemas.microsoft.com/office/drawing/2014/main" id="{7E5FF5DE-44B6-2FB9-6C62-8AE56C8C9D79}"/>
            </a:ext>
          </a:extLst>
        </xdr:cNvPr>
        <xdr:cNvSpPr/>
      </xdr:nvSpPr>
      <xdr:spPr bwMode="auto">
        <a:xfrm>
          <a:off x="929817" y="2184193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47</a:t>
          </a:r>
        </a:p>
      </xdr:txBody>
    </xdr:sp>
    <xdr:clientData/>
  </xdr:twoCellAnchor>
  <xdr:twoCellAnchor>
    <xdr:from>
      <xdr:col>3</xdr:col>
      <xdr:colOff>161248</xdr:colOff>
      <xdr:row>79</xdr:row>
      <xdr:rowOff>78956</xdr:rowOff>
    </xdr:from>
    <xdr:to>
      <xdr:col>4</xdr:col>
      <xdr:colOff>89384</xdr:colOff>
      <xdr:row>80</xdr:row>
      <xdr:rowOff>164649</xdr:rowOff>
    </xdr:to>
    <xdr:sp macro="" textlink="">
      <xdr:nvSpPr>
        <xdr:cNvPr id="360" name="Ромб 359">
          <a:extLst>
            <a:ext uri="{FF2B5EF4-FFF2-40B4-BE49-F238E27FC236}">
              <a16:creationId xmlns:a16="http://schemas.microsoft.com/office/drawing/2014/main" id="{8FCFDDEF-7690-2B05-A806-7A5E98F60C6F}"/>
            </a:ext>
          </a:extLst>
        </xdr:cNvPr>
        <xdr:cNvSpPr/>
      </xdr:nvSpPr>
      <xdr:spPr bwMode="auto">
        <a:xfrm>
          <a:off x="1166300" y="2165800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48</a:t>
          </a:r>
        </a:p>
      </xdr:txBody>
    </xdr:sp>
    <xdr:clientData/>
  </xdr:twoCellAnchor>
  <xdr:twoCellAnchor>
    <xdr:from>
      <xdr:col>4</xdr:col>
      <xdr:colOff>174386</xdr:colOff>
      <xdr:row>78</xdr:row>
      <xdr:rowOff>144646</xdr:rowOff>
    </xdr:from>
    <xdr:to>
      <xdr:col>5</xdr:col>
      <xdr:colOff>102522</xdr:colOff>
      <xdr:row>80</xdr:row>
      <xdr:rowOff>39839</xdr:rowOff>
    </xdr:to>
    <xdr:sp macro="" textlink="">
      <xdr:nvSpPr>
        <xdr:cNvPr id="361" name="Ромб 360">
          <a:extLst>
            <a:ext uri="{FF2B5EF4-FFF2-40B4-BE49-F238E27FC236}">
              <a16:creationId xmlns:a16="http://schemas.microsoft.com/office/drawing/2014/main" id="{2FC95B83-159E-D736-0BC1-2172E6C69B23}"/>
            </a:ext>
          </a:extLst>
        </xdr:cNvPr>
        <xdr:cNvSpPr/>
      </xdr:nvSpPr>
      <xdr:spPr bwMode="auto">
        <a:xfrm>
          <a:off x="1514455" y="2153319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49</a:t>
          </a:r>
        </a:p>
      </xdr:txBody>
    </xdr:sp>
    <xdr:clientData/>
  </xdr:twoCellAnchor>
  <xdr:twoCellAnchor>
    <xdr:from>
      <xdr:col>6</xdr:col>
      <xdr:colOff>16731</xdr:colOff>
      <xdr:row>79</xdr:row>
      <xdr:rowOff>105232</xdr:rowOff>
    </xdr:from>
    <xdr:to>
      <xdr:col>6</xdr:col>
      <xdr:colOff>279884</xdr:colOff>
      <xdr:row>81</xdr:row>
      <xdr:rowOff>425</xdr:rowOff>
    </xdr:to>
    <xdr:sp macro="" textlink="">
      <xdr:nvSpPr>
        <xdr:cNvPr id="362" name="Ромб 361">
          <a:extLst>
            <a:ext uri="{FF2B5EF4-FFF2-40B4-BE49-F238E27FC236}">
              <a16:creationId xmlns:a16="http://schemas.microsoft.com/office/drawing/2014/main" id="{2A39AF02-30EE-E5ED-472C-1778BA493808}"/>
            </a:ext>
          </a:extLst>
        </xdr:cNvPr>
        <xdr:cNvSpPr/>
      </xdr:nvSpPr>
      <xdr:spPr bwMode="auto">
        <a:xfrm>
          <a:off x="2026834" y="21684284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50</a:t>
          </a:r>
        </a:p>
      </xdr:txBody>
    </xdr:sp>
    <xdr:clientData/>
  </xdr:twoCellAnchor>
  <xdr:twoCellAnchor>
    <xdr:from>
      <xdr:col>6</xdr:col>
      <xdr:colOff>233507</xdr:colOff>
      <xdr:row>79</xdr:row>
      <xdr:rowOff>52680</xdr:rowOff>
    </xdr:from>
    <xdr:to>
      <xdr:col>7</xdr:col>
      <xdr:colOff>161642</xdr:colOff>
      <xdr:row>80</xdr:row>
      <xdr:rowOff>138373</xdr:rowOff>
    </xdr:to>
    <xdr:sp macro="" textlink="">
      <xdr:nvSpPr>
        <xdr:cNvPr id="363" name="Ромб 362">
          <a:extLst>
            <a:ext uri="{FF2B5EF4-FFF2-40B4-BE49-F238E27FC236}">
              <a16:creationId xmlns:a16="http://schemas.microsoft.com/office/drawing/2014/main" id="{610DD858-21FA-C8EC-4CB6-DEF5D9A08020}"/>
            </a:ext>
          </a:extLst>
        </xdr:cNvPr>
        <xdr:cNvSpPr/>
      </xdr:nvSpPr>
      <xdr:spPr bwMode="auto">
        <a:xfrm>
          <a:off x="2243610" y="2163173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51</a:t>
          </a:r>
        </a:p>
      </xdr:txBody>
    </xdr:sp>
    <xdr:clientData/>
  </xdr:twoCellAnchor>
  <xdr:twoCellAnchor>
    <xdr:from>
      <xdr:col>7</xdr:col>
      <xdr:colOff>148110</xdr:colOff>
      <xdr:row>78</xdr:row>
      <xdr:rowOff>118370</xdr:rowOff>
    </xdr:from>
    <xdr:to>
      <xdr:col>8</xdr:col>
      <xdr:colOff>76246</xdr:colOff>
      <xdr:row>80</xdr:row>
      <xdr:rowOff>13563</xdr:rowOff>
    </xdr:to>
    <xdr:sp macro="" textlink="">
      <xdr:nvSpPr>
        <xdr:cNvPr id="364" name="Ромб 363">
          <a:extLst>
            <a:ext uri="{FF2B5EF4-FFF2-40B4-BE49-F238E27FC236}">
              <a16:creationId xmlns:a16="http://schemas.microsoft.com/office/drawing/2014/main" id="{F150AB2E-C7ED-389D-CB95-1FE68162DD3C}"/>
            </a:ext>
          </a:extLst>
        </xdr:cNvPr>
        <xdr:cNvSpPr/>
      </xdr:nvSpPr>
      <xdr:spPr bwMode="auto">
        <a:xfrm>
          <a:off x="2493231" y="2150692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52</a:t>
          </a:r>
        </a:p>
      </xdr:txBody>
    </xdr:sp>
    <xdr:clientData/>
  </xdr:twoCellAnchor>
  <xdr:twoCellAnchor>
    <xdr:from>
      <xdr:col>8</xdr:col>
      <xdr:colOff>56145</xdr:colOff>
      <xdr:row>79</xdr:row>
      <xdr:rowOff>92094</xdr:rowOff>
    </xdr:from>
    <xdr:to>
      <xdr:col>8</xdr:col>
      <xdr:colOff>319298</xdr:colOff>
      <xdr:row>80</xdr:row>
      <xdr:rowOff>177787</xdr:rowOff>
    </xdr:to>
    <xdr:sp macro="" textlink="">
      <xdr:nvSpPr>
        <xdr:cNvPr id="365" name="Ромб 364">
          <a:extLst>
            <a:ext uri="{FF2B5EF4-FFF2-40B4-BE49-F238E27FC236}">
              <a16:creationId xmlns:a16="http://schemas.microsoft.com/office/drawing/2014/main" id="{BB98D262-9F2E-3A7C-3859-ECA804978291}"/>
            </a:ext>
          </a:extLst>
        </xdr:cNvPr>
        <xdr:cNvSpPr/>
      </xdr:nvSpPr>
      <xdr:spPr bwMode="auto">
        <a:xfrm>
          <a:off x="2736283" y="2167114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53</a:t>
          </a:r>
        </a:p>
      </xdr:txBody>
    </xdr:sp>
    <xdr:clientData/>
  </xdr:twoCellAnchor>
  <xdr:twoCellAnchor>
    <xdr:from>
      <xdr:col>8</xdr:col>
      <xdr:colOff>299196</xdr:colOff>
      <xdr:row>77</xdr:row>
      <xdr:rowOff>124939</xdr:rowOff>
    </xdr:from>
    <xdr:to>
      <xdr:col>9</xdr:col>
      <xdr:colOff>227332</xdr:colOff>
      <xdr:row>79</xdr:row>
      <xdr:rowOff>20132</xdr:rowOff>
    </xdr:to>
    <xdr:sp macro="" textlink="">
      <xdr:nvSpPr>
        <xdr:cNvPr id="366" name="Ромб 365">
          <a:extLst>
            <a:ext uri="{FF2B5EF4-FFF2-40B4-BE49-F238E27FC236}">
              <a16:creationId xmlns:a16="http://schemas.microsoft.com/office/drawing/2014/main" id="{560E0792-1960-2EB9-CB94-B417DDA3177A}"/>
            </a:ext>
          </a:extLst>
        </xdr:cNvPr>
        <xdr:cNvSpPr/>
      </xdr:nvSpPr>
      <xdr:spPr bwMode="auto">
        <a:xfrm>
          <a:off x="2979334" y="2132299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54</a:t>
          </a:r>
        </a:p>
      </xdr:txBody>
    </xdr:sp>
    <xdr:clientData/>
  </xdr:twoCellAnchor>
  <xdr:twoCellAnchor>
    <xdr:from>
      <xdr:col>8</xdr:col>
      <xdr:colOff>16731</xdr:colOff>
      <xdr:row>77</xdr:row>
      <xdr:rowOff>105232</xdr:rowOff>
    </xdr:from>
    <xdr:to>
      <xdr:col>8</xdr:col>
      <xdr:colOff>279884</xdr:colOff>
      <xdr:row>79</xdr:row>
      <xdr:rowOff>425</xdr:rowOff>
    </xdr:to>
    <xdr:sp macro="" textlink="">
      <xdr:nvSpPr>
        <xdr:cNvPr id="367" name="Ромб 366">
          <a:extLst>
            <a:ext uri="{FF2B5EF4-FFF2-40B4-BE49-F238E27FC236}">
              <a16:creationId xmlns:a16="http://schemas.microsoft.com/office/drawing/2014/main" id="{2148A726-23F4-5583-1EBA-7AA168C7F83B}"/>
            </a:ext>
          </a:extLst>
        </xdr:cNvPr>
        <xdr:cNvSpPr/>
      </xdr:nvSpPr>
      <xdr:spPr bwMode="auto">
        <a:xfrm>
          <a:off x="2696869" y="21303284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55</a:t>
          </a:r>
        </a:p>
      </xdr:txBody>
    </xdr:sp>
    <xdr:clientData/>
  </xdr:twoCellAnchor>
  <xdr:twoCellAnchor>
    <xdr:from>
      <xdr:col>6</xdr:col>
      <xdr:colOff>259783</xdr:colOff>
      <xdr:row>77</xdr:row>
      <xdr:rowOff>92094</xdr:rowOff>
    </xdr:from>
    <xdr:to>
      <xdr:col>7</xdr:col>
      <xdr:colOff>187918</xdr:colOff>
      <xdr:row>78</xdr:row>
      <xdr:rowOff>177787</xdr:rowOff>
    </xdr:to>
    <xdr:sp macro="" textlink="">
      <xdr:nvSpPr>
        <xdr:cNvPr id="368" name="Ромб 367">
          <a:extLst>
            <a:ext uri="{FF2B5EF4-FFF2-40B4-BE49-F238E27FC236}">
              <a16:creationId xmlns:a16="http://schemas.microsoft.com/office/drawing/2014/main" id="{DB501668-7A0C-4407-30AD-984C22038460}"/>
            </a:ext>
          </a:extLst>
        </xdr:cNvPr>
        <xdr:cNvSpPr/>
      </xdr:nvSpPr>
      <xdr:spPr bwMode="auto">
        <a:xfrm>
          <a:off x="2269886" y="2129014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56</a:t>
          </a:r>
        </a:p>
      </xdr:txBody>
    </xdr:sp>
    <xdr:clientData/>
  </xdr:twoCellAnchor>
  <xdr:twoCellAnchor>
    <xdr:from>
      <xdr:col>6</xdr:col>
      <xdr:colOff>16732</xdr:colOff>
      <xdr:row>77</xdr:row>
      <xdr:rowOff>131508</xdr:rowOff>
    </xdr:from>
    <xdr:to>
      <xdr:col>6</xdr:col>
      <xdr:colOff>279885</xdr:colOff>
      <xdr:row>79</xdr:row>
      <xdr:rowOff>26701</xdr:rowOff>
    </xdr:to>
    <xdr:sp macro="" textlink="">
      <xdr:nvSpPr>
        <xdr:cNvPr id="369" name="Ромб 368">
          <a:extLst>
            <a:ext uri="{FF2B5EF4-FFF2-40B4-BE49-F238E27FC236}">
              <a16:creationId xmlns:a16="http://schemas.microsoft.com/office/drawing/2014/main" id="{74933D01-CDA2-FDEC-7503-E6D954EF6F75}"/>
            </a:ext>
          </a:extLst>
        </xdr:cNvPr>
        <xdr:cNvSpPr/>
      </xdr:nvSpPr>
      <xdr:spPr bwMode="auto">
        <a:xfrm>
          <a:off x="2026835" y="21329560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57</a:t>
          </a:r>
        </a:p>
      </xdr:txBody>
    </xdr:sp>
    <xdr:clientData/>
  </xdr:twoCellAnchor>
  <xdr:twoCellAnchor>
    <xdr:from>
      <xdr:col>5</xdr:col>
      <xdr:colOff>69283</xdr:colOff>
      <xdr:row>77</xdr:row>
      <xdr:rowOff>111801</xdr:rowOff>
    </xdr:from>
    <xdr:to>
      <xdr:col>5</xdr:col>
      <xdr:colOff>332436</xdr:colOff>
      <xdr:row>79</xdr:row>
      <xdr:rowOff>6994</xdr:rowOff>
    </xdr:to>
    <xdr:sp macro="" textlink="">
      <xdr:nvSpPr>
        <xdr:cNvPr id="370" name="Ромб 369">
          <a:extLst>
            <a:ext uri="{FF2B5EF4-FFF2-40B4-BE49-F238E27FC236}">
              <a16:creationId xmlns:a16="http://schemas.microsoft.com/office/drawing/2014/main" id="{C26C4D88-61BB-0E75-4300-01F9A9825E94}"/>
            </a:ext>
          </a:extLst>
        </xdr:cNvPr>
        <xdr:cNvSpPr/>
      </xdr:nvSpPr>
      <xdr:spPr bwMode="auto">
        <a:xfrm>
          <a:off x="1744369" y="21309853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58</a:t>
          </a:r>
        </a:p>
      </xdr:txBody>
    </xdr:sp>
    <xdr:clientData/>
  </xdr:twoCellAnchor>
  <xdr:twoCellAnchor>
    <xdr:from>
      <xdr:col>3</xdr:col>
      <xdr:colOff>318903</xdr:colOff>
      <xdr:row>77</xdr:row>
      <xdr:rowOff>65818</xdr:rowOff>
    </xdr:from>
    <xdr:to>
      <xdr:col>4</xdr:col>
      <xdr:colOff>247039</xdr:colOff>
      <xdr:row>78</xdr:row>
      <xdr:rowOff>151511</xdr:rowOff>
    </xdr:to>
    <xdr:sp macro="" textlink="">
      <xdr:nvSpPr>
        <xdr:cNvPr id="371" name="Ромб 370">
          <a:extLst>
            <a:ext uri="{FF2B5EF4-FFF2-40B4-BE49-F238E27FC236}">
              <a16:creationId xmlns:a16="http://schemas.microsoft.com/office/drawing/2014/main" id="{4130944B-55E5-E36D-B657-F391CD2FF706}"/>
            </a:ext>
          </a:extLst>
        </xdr:cNvPr>
        <xdr:cNvSpPr/>
      </xdr:nvSpPr>
      <xdr:spPr bwMode="auto">
        <a:xfrm>
          <a:off x="1323955" y="21263870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59</a:t>
          </a:r>
        </a:p>
      </xdr:txBody>
    </xdr:sp>
    <xdr:clientData/>
  </xdr:twoCellAnchor>
  <xdr:twoCellAnchor>
    <xdr:from>
      <xdr:col>2</xdr:col>
      <xdr:colOff>259783</xdr:colOff>
      <xdr:row>78</xdr:row>
      <xdr:rowOff>32973</xdr:rowOff>
    </xdr:from>
    <xdr:to>
      <xdr:col>3</xdr:col>
      <xdr:colOff>187918</xdr:colOff>
      <xdr:row>79</xdr:row>
      <xdr:rowOff>118666</xdr:rowOff>
    </xdr:to>
    <xdr:sp macro="" textlink="">
      <xdr:nvSpPr>
        <xdr:cNvPr id="372" name="Ромб 371">
          <a:extLst>
            <a:ext uri="{FF2B5EF4-FFF2-40B4-BE49-F238E27FC236}">
              <a16:creationId xmlns:a16="http://schemas.microsoft.com/office/drawing/2014/main" id="{A9C36F6B-F9FB-A47C-5E74-DB79EBED589F}"/>
            </a:ext>
          </a:extLst>
        </xdr:cNvPr>
        <xdr:cNvSpPr/>
      </xdr:nvSpPr>
      <xdr:spPr bwMode="auto">
        <a:xfrm>
          <a:off x="929817" y="21421525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60</a:t>
          </a:r>
        </a:p>
      </xdr:txBody>
    </xdr:sp>
    <xdr:clientData/>
  </xdr:twoCellAnchor>
  <xdr:twoCellAnchor>
    <xdr:from>
      <xdr:col>2</xdr:col>
      <xdr:colOff>95559</xdr:colOff>
      <xdr:row>77</xdr:row>
      <xdr:rowOff>13266</xdr:rowOff>
    </xdr:from>
    <xdr:to>
      <xdr:col>3</xdr:col>
      <xdr:colOff>23694</xdr:colOff>
      <xdr:row>78</xdr:row>
      <xdr:rowOff>98959</xdr:rowOff>
    </xdr:to>
    <xdr:sp macro="" textlink="">
      <xdr:nvSpPr>
        <xdr:cNvPr id="373" name="Ромб 372">
          <a:extLst>
            <a:ext uri="{FF2B5EF4-FFF2-40B4-BE49-F238E27FC236}">
              <a16:creationId xmlns:a16="http://schemas.microsoft.com/office/drawing/2014/main" id="{B76A93EF-32E4-F1EB-4A07-B717740210CA}"/>
            </a:ext>
          </a:extLst>
        </xdr:cNvPr>
        <xdr:cNvSpPr/>
      </xdr:nvSpPr>
      <xdr:spPr bwMode="auto">
        <a:xfrm>
          <a:off x="765593" y="2121131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61</a:t>
          </a:r>
        </a:p>
      </xdr:txBody>
    </xdr:sp>
    <xdr:clientData/>
  </xdr:twoCellAnchor>
  <xdr:twoCellAnchor>
    <xdr:from>
      <xdr:col>1</xdr:col>
      <xdr:colOff>318904</xdr:colOff>
      <xdr:row>75</xdr:row>
      <xdr:rowOff>19835</xdr:rowOff>
    </xdr:from>
    <xdr:to>
      <xdr:col>2</xdr:col>
      <xdr:colOff>247040</xdr:colOff>
      <xdr:row>76</xdr:row>
      <xdr:rowOff>105528</xdr:rowOff>
    </xdr:to>
    <xdr:sp macro="" textlink="">
      <xdr:nvSpPr>
        <xdr:cNvPr id="374" name="Ромб 373">
          <a:extLst>
            <a:ext uri="{FF2B5EF4-FFF2-40B4-BE49-F238E27FC236}">
              <a16:creationId xmlns:a16="http://schemas.microsoft.com/office/drawing/2014/main" id="{22E35C96-63DD-E2DD-8BE5-3384D4F1D3D8}"/>
            </a:ext>
          </a:extLst>
        </xdr:cNvPr>
        <xdr:cNvSpPr/>
      </xdr:nvSpPr>
      <xdr:spPr bwMode="auto">
        <a:xfrm>
          <a:off x="653921" y="2083688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63</a:t>
          </a:r>
        </a:p>
      </xdr:txBody>
    </xdr:sp>
    <xdr:clientData/>
  </xdr:twoCellAnchor>
  <xdr:twoCellAnchor>
    <xdr:from>
      <xdr:col>2</xdr:col>
      <xdr:colOff>226938</xdr:colOff>
      <xdr:row>74</xdr:row>
      <xdr:rowOff>138077</xdr:rowOff>
    </xdr:from>
    <xdr:to>
      <xdr:col>3</xdr:col>
      <xdr:colOff>155073</xdr:colOff>
      <xdr:row>76</xdr:row>
      <xdr:rowOff>33270</xdr:rowOff>
    </xdr:to>
    <xdr:sp macro="" textlink="">
      <xdr:nvSpPr>
        <xdr:cNvPr id="375" name="Ромб 374">
          <a:extLst>
            <a:ext uri="{FF2B5EF4-FFF2-40B4-BE49-F238E27FC236}">
              <a16:creationId xmlns:a16="http://schemas.microsoft.com/office/drawing/2014/main" id="{CAB124F0-C0E2-FF09-6962-8AA84C671470}"/>
            </a:ext>
          </a:extLst>
        </xdr:cNvPr>
        <xdr:cNvSpPr/>
      </xdr:nvSpPr>
      <xdr:spPr bwMode="auto">
        <a:xfrm>
          <a:off x="896972" y="2076462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64</a:t>
          </a:r>
        </a:p>
      </xdr:txBody>
    </xdr:sp>
    <xdr:clientData/>
  </xdr:twoCellAnchor>
  <xdr:twoCellAnchor>
    <xdr:from>
      <xdr:col>3</xdr:col>
      <xdr:colOff>69282</xdr:colOff>
      <xdr:row>76</xdr:row>
      <xdr:rowOff>105232</xdr:rowOff>
    </xdr:from>
    <xdr:to>
      <xdr:col>3</xdr:col>
      <xdr:colOff>332435</xdr:colOff>
      <xdr:row>78</xdr:row>
      <xdr:rowOff>425</xdr:rowOff>
    </xdr:to>
    <xdr:sp macro="" textlink="">
      <xdr:nvSpPr>
        <xdr:cNvPr id="376" name="Ромб 375">
          <a:extLst>
            <a:ext uri="{FF2B5EF4-FFF2-40B4-BE49-F238E27FC236}">
              <a16:creationId xmlns:a16="http://schemas.microsoft.com/office/drawing/2014/main" id="{B8449F02-38FD-11D8-DF5C-25858A8549DE}"/>
            </a:ext>
          </a:extLst>
        </xdr:cNvPr>
        <xdr:cNvSpPr/>
      </xdr:nvSpPr>
      <xdr:spPr bwMode="auto">
        <a:xfrm>
          <a:off x="1074334" y="21112784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62</a:t>
          </a:r>
        </a:p>
      </xdr:txBody>
    </xdr:sp>
    <xdr:clientData/>
  </xdr:twoCellAnchor>
  <xdr:twoCellAnchor>
    <xdr:from>
      <xdr:col>4</xdr:col>
      <xdr:colOff>108696</xdr:colOff>
      <xdr:row>76</xdr:row>
      <xdr:rowOff>6697</xdr:rowOff>
    </xdr:from>
    <xdr:to>
      <xdr:col>5</xdr:col>
      <xdr:colOff>36832</xdr:colOff>
      <xdr:row>77</xdr:row>
      <xdr:rowOff>92390</xdr:rowOff>
    </xdr:to>
    <xdr:sp macro="" textlink="">
      <xdr:nvSpPr>
        <xdr:cNvPr id="377" name="Ромб 376">
          <a:extLst>
            <a:ext uri="{FF2B5EF4-FFF2-40B4-BE49-F238E27FC236}">
              <a16:creationId xmlns:a16="http://schemas.microsoft.com/office/drawing/2014/main" id="{6B5BBDF9-7A50-8036-C0F0-FE344732C686}"/>
            </a:ext>
          </a:extLst>
        </xdr:cNvPr>
        <xdr:cNvSpPr/>
      </xdr:nvSpPr>
      <xdr:spPr bwMode="auto">
        <a:xfrm>
          <a:off x="1448765" y="2101424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65</a:t>
          </a:r>
        </a:p>
      </xdr:txBody>
    </xdr:sp>
    <xdr:clientData/>
  </xdr:twoCellAnchor>
  <xdr:twoCellAnchor>
    <xdr:from>
      <xdr:col>5</xdr:col>
      <xdr:colOff>3593</xdr:colOff>
      <xdr:row>76</xdr:row>
      <xdr:rowOff>19835</xdr:rowOff>
    </xdr:from>
    <xdr:to>
      <xdr:col>5</xdr:col>
      <xdr:colOff>266746</xdr:colOff>
      <xdr:row>77</xdr:row>
      <xdr:rowOff>105528</xdr:rowOff>
    </xdr:to>
    <xdr:sp macro="" textlink="">
      <xdr:nvSpPr>
        <xdr:cNvPr id="378" name="Ромб 377">
          <a:extLst>
            <a:ext uri="{FF2B5EF4-FFF2-40B4-BE49-F238E27FC236}">
              <a16:creationId xmlns:a16="http://schemas.microsoft.com/office/drawing/2014/main" id="{37FE2476-7390-A6CA-F47E-4C7F5956038C}"/>
            </a:ext>
          </a:extLst>
        </xdr:cNvPr>
        <xdr:cNvSpPr/>
      </xdr:nvSpPr>
      <xdr:spPr bwMode="auto">
        <a:xfrm>
          <a:off x="1678679" y="2102738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66</a:t>
          </a:r>
        </a:p>
      </xdr:txBody>
    </xdr:sp>
    <xdr:clientData/>
  </xdr:twoCellAnchor>
  <xdr:twoCellAnchor>
    <xdr:from>
      <xdr:col>5</xdr:col>
      <xdr:colOff>226938</xdr:colOff>
      <xdr:row>75</xdr:row>
      <xdr:rowOff>19835</xdr:rowOff>
    </xdr:from>
    <xdr:to>
      <xdr:col>6</xdr:col>
      <xdr:colOff>155074</xdr:colOff>
      <xdr:row>76</xdr:row>
      <xdr:rowOff>105528</xdr:rowOff>
    </xdr:to>
    <xdr:sp macro="" textlink="">
      <xdr:nvSpPr>
        <xdr:cNvPr id="379" name="Ромб 378">
          <a:extLst>
            <a:ext uri="{FF2B5EF4-FFF2-40B4-BE49-F238E27FC236}">
              <a16:creationId xmlns:a16="http://schemas.microsoft.com/office/drawing/2014/main" id="{907A48ED-5347-8687-FA7E-BCE2C92F35D6}"/>
            </a:ext>
          </a:extLst>
        </xdr:cNvPr>
        <xdr:cNvSpPr/>
      </xdr:nvSpPr>
      <xdr:spPr bwMode="auto">
        <a:xfrm>
          <a:off x="1902024" y="2083688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67</a:t>
          </a:r>
        </a:p>
      </xdr:txBody>
    </xdr:sp>
    <xdr:clientData/>
  </xdr:twoCellAnchor>
  <xdr:twoCellAnchor>
    <xdr:from>
      <xdr:col>6</xdr:col>
      <xdr:colOff>121835</xdr:colOff>
      <xdr:row>76</xdr:row>
      <xdr:rowOff>26404</xdr:rowOff>
    </xdr:from>
    <xdr:to>
      <xdr:col>7</xdr:col>
      <xdr:colOff>49970</xdr:colOff>
      <xdr:row>77</xdr:row>
      <xdr:rowOff>112097</xdr:rowOff>
    </xdr:to>
    <xdr:sp macro="" textlink="">
      <xdr:nvSpPr>
        <xdr:cNvPr id="380" name="Ромб 379">
          <a:extLst>
            <a:ext uri="{FF2B5EF4-FFF2-40B4-BE49-F238E27FC236}">
              <a16:creationId xmlns:a16="http://schemas.microsoft.com/office/drawing/2014/main" id="{329F625D-58C2-3AD4-7BDF-F32FE38978AC}"/>
            </a:ext>
          </a:extLst>
        </xdr:cNvPr>
        <xdr:cNvSpPr/>
      </xdr:nvSpPr>
      <xdr:spPr bwMode="auto">
        <a:xfrm>
          <a:off x="2131938" y="2103395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68</a:t>
          </a:r>
        </a:p>
      </xdr:txBody>
    </xdr:sp>
    <xdr:clientData/>
  </xdr:twoCellAnchor>
  <xdr:twoCellAnchor>
    <xdr:from>
      <xdr:col>7</xdr:col>
      <xdr:colOff>88989</xdr:colOff>
      <xdr:row>75</xdr:row>
      <xdr:rowOff>144646</xdr:rowOff>
    </xdr:from>
    <xdr:to>
      <xdr:col>8</xdr:col>
      <xdr:colOff>17125</xdr:colOff>
      <xdr:row>77</xdr:row>
      <xdr:rowOff>39839</xdr:rowOff>
    </xdr:to>
    <xdr:sp macro="" textlink="">
      <xdr:nvSpPr>
        <xdr:cNvPr id="389" name="Ромб 388">
          <a:extLst>
            <a:ext uri="{FF2B5EF4-FFF2-40B4-BE49-F238E27FC236}">
              <a16:creationId xmlns:a16="http://schemas.microsoft.com/office/drawing/2014/main" id="{BC07B2E4-27A1-5A6E-9231-468394EC66C7}"/>
            </a:ext>
          </a:extLst>
        </xdr:cNvPr>
        <xdr:cNvSpPr/>
      </xdr:nvSpPr>
      <xdr:spPr bwMode="auto">
        <a:xfrm>
          <a:off x="2434110" y="2096169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69</a:t>
          </a:r>
        </a:p>
      </xdr:txBody>
    </xdr:sp>
    <xdr:clientData/>
  </xdr:twoCellAnchor>
  <xdr:twoCellAnchor>
    <xdr:from>
      <xdr:col>8</xdr:col>
      <xdr:colOff>82421</xdr:colOff>
      <xdr:row>75</xdr:row>
      <xdr:rowOff>124939</xdr:rowOff>
    </xdr:from>
    <xdr:to>
      <xdr:col>9</xdr:col>
      <xdr:colOff>10557</xdr:colOff>
      <xdr:row>77</xdr:row>
      <xdr:rowOff>20132</xdr:rowOff>
    </xdr:to>
    <xdr:sp macro="" textlink="">
      <xdr:nvSpPr>
        <xdr:cNvPr id="390" name="Ромб 389">
          <a:extLst>
            <a:ext uri="{FF2B5EF4-FFF2-40B4-BE49-F238E27FC236}">
              <a16:creationId xmlns:a16="http://schemas.microsoft.com/office/drawing/2014/main" id="{19F13791-F3F5-9E9B-35A9-46970050C2FF}"/>
            </a:ext>
          </a:extLst>
        </xdr:cNvPr>
        <xdr:cNvSpPr/>
      </xdr:nvSpPr>
      <xdr:spPr bwMode="auto">
        <a:xfrm>
          <a:off x="2762559" y="2094199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70</a:t>
          </a:r>
        </a:p>
      </xdr:txBody>
    </xdr:sp>
    <xdr:clientData/>
  </xdr:twoCellAnchor>
  <xdr:twoCellAnchor>
    <xdr:from>
      <xdr:col>8</xdr:col>
      <xdr:colOff>240076</xdr:colOff>
      <xdr:row>73</xdr:row>
      <xdr:rowOff>92094</xdr:rowOff>
    </xdr:from>
    <xdr:to>
      <xdr:col>9</xdr:col>
      <xdr:colOff>168212</xdr:colOff>
      <xdr:row>74</xdr:row>
      <xdr:rowOff>177787</xdr:rowOff>
    </xdr:to>
    <xdr:sp macro="" textlink="">
      <xdr:nvSpPr>
        <xdr:cNvPr id="391" name="Ромб 390">
          <a:extLst>
            <a:ext uri="{FF2B5EF4-FFF2-40B4-BE49-F238E27FC236}">
              <a16:creationId xmlns:a16="http://schemas.microsoft.com/office/drawing/2014/main" id="{10867D83-AC97-98CB-18DB-0BC230B220BF}"/>
            </a:ext>
          </a:extLst>
        </xdr:cNvPr>
        <xdr:cNvSpPr/>
      </xdr:nvSpPr>
      <xdr:spPr bwMode="auto">
        <a:xfrm>
          <a:off x="2920214" y="20528146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71</a:t>
          </a:r>
        </a:p>
      </xdr:txBody>
    </xdr:sp>
    <xdr:clientData/>
  </xdr:twoCellAnchor>
  <xdr:twoCellAnchor>
    <xdr:from>
      <xdr:col>7</xdr:col>
      <xdr:colOff>279490</xdr:colOff>
      <xdr:row>73</xdr:row>
      <xdr:rowOff>151215</xdr:rowOff>
    </xdr:from>
    <xdr:to>
      <xdr:col>8</xdr:col>
      <xdr:colOff>207626</xdr:colOff>
      <xdr:row>75</xdr:row>
      <xdr:rowOff>46408</xdr:rowOff>
    </xdr:to>
    <xdr:sp macro="" textlink="">
      <xdr:nvSpPr>
        <xdr:cNvPr id="392" name="Ромб 391">
          <a:extLst>
            <a:ext uri="{FF2B5EF4-FFF2-40B4-BE49-F238E27FC236}">
              <a16:creationId xmlns:a16="http://schemas.microsoft.com/office/drawing/2014/main" id="{6561EE22-7117-C635-D303-6A82BC232AE6}"/>
            </a:ext>
          </a:extLst>
        </xdr:cNvPr>
        <xdr:cNvSpPr/>
      </xdr:nvSpPr>
      <xdr:spPr bwMode="auto">
        <a:xfrm>
          <a:off x="2624611" y="2058726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72</a:t>
          </a:r>
        </a:p>
      </xdr:txBody>
    </xdr:sp>
    <xdr:clientData/>
  </xdr:twoCellAnchor>
  <xdr:twoCellAnchor>
    <xdr:from>
      <xdr:col>6</xdr:col>
      <xdr:colOff>312336</xdr:colOff>
      <xdr:row>73</xdr:row>
      <xdr:rowOff>85525</xdr:rowOff>
    </xdr:from>
    <xdr:to>
      <xdr:col>7</xdr:col>
      <xdr:colOff>240471</xdr:colOff>
      <xdr:row>74</xdr:row>
      <xdr:rowOff>171218</xdr:rowOff>
    </xdr:to>
    <xdr:sp macro="" textlink="">
      <xdr:nvSpPr>
        <xdr:cNvPr id="393" name="Ромб 392">
          <a:extLst>
            <a:ext uri="{FF2B5EF4-FFF2-40B4-BE49-F238E27FC236}">
              <a16:creationId xmlns:a16="http://schemas.microsoft.com/office/drawing/2014/main" id="{5DD538A2-4220-8ECE-113A-08C6185A8D42}"/>
            </a:ext>
          </a:extLst>
        </xdr:cNvPr>
        <xdr:cNvSpPr/>
      </xdr:nvSpPr>
      <xdr:spPr bwMode="auto">
        <a:xfrm>
          <a:off x="2322439" y="2052157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73</a:t>
          </a:r>
        </a:p>
      </xdr:txBody>
    </xdr:sp>
    <xdr:clientData/>
  </xdr:twoCellAnchor>
  <xdr:twoCellAnchor>
    <xdr:from>
      <xdr:col>6</xdr:col>
      <xdr:colOff>3594</xdr:colOff>
      <xdr:row>73</xdr:row>
      <xdr:rowOff>85525</xdr:rowOff>
    </xdr:from>
    <xdr:to>
      <xdr:col>6</xdr:col>
      <xdr:colOff>266747</xdr:colOff>
      <xdr:row>74</xdr:row>
      <xdr:rowOff>171218</xdr:rowOff>
    </xdr:to>
    <xdr:sp macro="" textlink="">
      <xdr:nvSpPr>
        <xdr:cNvPr id="394" name="Ромб 393">
          <a:extLst>
            <a:ext uri="{FF2B5EF4-FFF2-40B4-BE49-F238E27FC236}">
              <a16:creationId xmlns:a16="http://schemas.microsoft.com/office/drawing/2014/main" id="{7A7DDC56-73B8-3208-26D5-67043BFC3E21}"/>
            </a:ext>
          </a:extLst>
        </xdr:cNvPr>
        <xdr:cNvSpPr/>
      </xdr:nvSpPr>
      <xdr:spPr bwMode="auto">
        <a:xfrm>
          <a:off x="2013697" y="20521577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74</a:t>
          </a:r>
        </a:p>
      </xdr:txBody>
    </xdr:sp>
    <xdr:clientData/>
  </xdr:twoCellAnchor>
  <xdr:twoCellAnchor>
    <xdr:from>
      <xdr:col>5</xdr:col>
      <xdr:colOff>43008</xdr:colOff>
      <xdr:row>73</xdr:row>
      <xdr:rowOff>72387</xdr:rowOff>
    </xdr:from>
    <xdr:to>
      <xdr:col>5</xdr:col>
      <xdr:colOff>306161</xdr:colOff>
      <xdr:row>74</xdr:row>
      <xdr:rowOff>158080</xdr:rowOff>
    </xdr:to>
    <xdr:sp macro="" textlink="">
      <xdr:nvSpPr>
        <xdr:cNvPr id="395" name="Ромб 394">
          <a:extLst>
            <a:ext uri="{FF2B5EF4-FFF2-40B4-BE49-F238E27FC236}">
              <a16:creationId xmlns:a16="http://schemas.microsoft.com/office/drawing/2014/main" id="{66CD3039-BDDB-3C95-9AD9-9322EC18E5D5}"/>
            </a:ext>
          </a:extLst>
        </xdr:cNvPr>
        <xdr:cNvSpPr/>
      </xdr:nvSpPr>
      <xdr:spPr bwMode="auto">
        <a:xfrm>
          <a:off x="1718094" y="20508439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75</a:t>
          </a:r>
        </a:p>
      </xdr:txBody>
    </xdr:sp>
    <xdr:clientData/>
  </xdr:twoCellAnchor>
  <xdr:twoCellAnchor>
    <xdr:from>
      <xdr:col>4</xdr:col>
      <xdr:colOff>29870</xdr:colOff>
      <xdr:row>74</xdr:row>
      <xdr:rowOff>98663</xdr:rowOff>
    </xdr:from>
    <xdr:to>
      <xdr:col>4</xdr:col>
      <xdr:colOff>293023</xdr:colOff>
      <xdr:row>75</xdr:row>
      <xdr:rowOff>184356</xdr:rowOff>
    </xdr:to>
    <xdr:sp macro="" textlink="">
      <xdr:nvSpPr>
        <xdr:cNvPr id="396" name="Ромб 395">
          <a:extLst>
            <a:ext uri="{FF2B5EF4-FFF2-40B4-BE49-F238E27FC236}">
              <a16:creationId xmlns:a16="http://schemas.microsoft.com/office/drawing/2014/main" id="{5A8D632A-4C31-96CE-B8A3-14E730D00402}"/>
            </a:ext>
          </a:extLst>
        </xdr:cNvPr>
        <xdr:cNvSpPr/>
      </xdr:nvSpPr>
      <xdr:spPr bwMode="auto">
        <a:xfrm>
          <a:off x="1369939" y="20725215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76</a:t>
          </a:r>
        </a:p>
      </xdr:txBody>
    </xdr:sp>
    <xdr:clientData/>
  </xdr:twoCellAnchor>
  <xdr:twoCellAnchor>
    <xdr:from>
      <xdr:col>3</xdr:col>
      <xdr:colOff>207232</xdr:colOff>
      <xdr:row>73</xdr:row>
      <xdr:rowOff>65818</xdr:rowOff>
    </xdr:from>
    <xdr:to>
      <xdr:col>4</xdr:col>
      <xdr:colOff>135368</xdr:colOff>
      <xdr:row>74</xdr:row>
      <xdr:rowOff>151511</xdr:rowOff>
    </xdr:to>
    <xdr:sp macro="" textlink="">
      <xdr:nvSpPr>
        <xdr:cNvPr id="397" name="Ромб 396">
          <a:extLst>
            <a:ext uri="{FF2B5EF4-FFF2-40B4-BE49-F238E27FC236}">
              <a16:creationId xmlns:a16="http://schemas.microsoft.com/office/drawing/2014/main" id="{14E71E7F-2244-4BFD-B588-B7556E68B7A1}"/>
            </a:ext>
          </a:extLst>
        </xdr:cNvPr>
        <xdr:cNvSpPr/>
      </xdr:nvSpPr>
      <xdr:spPr bwMode="auto">
        <a:xfrm>
          <a:off x="1212284" y="20501870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77</a:t>
          </a:r>
        </a:p>
      </xdr:txBody>
    </xdr:sp>
    <xdr:clientData/>
  </xdr:twoCellAnchor>
  <xdr:twoCellAnchor>
    <xdr:from>
      <xdr:col>2</xdr:col>
      <xdr:colOff>161250</xdr:colOff>
      <xdr:row>72</xdr:row>
      <xdr:rowOff>170922</xdr:rowOff>
    </xdr:from>
    <xdr:to>
      <xdr:col>3</xdr:col>
      <xdr:colOff>89385</xdr:colOff>
      <xdr:row>74</xdr:row>
      <xdr:rowOff>66115</xdr:rowOff>
    </xdr:to>
    <xdr:sp macro="" textlink="">
      <xdr:nvSpPr>
        <xdr:cNvPr id="398" name="Ромб 397">
          <a:extLst>
            <a:ext uri="{FF2B5EF4-FFF2-40B4-BE49-F238E27FC236}">
              <a16:creationId xmlns:a16="http://schemas.microsoft.com/office/drawing/2014/main" id="{B3C55F04-7A33-018D-5E25-6ACEDC156275}"/>
            </a:ext>
          </a:extLst>
        </xdr:cNvPr>
        <xdr:cNvSpPr/>
      </xdr:nvSpPr>
      <xdr:spPr bwMode="auto">
        <a:xfrm>
          <a:off x="831284" y="20416474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78</a:t>
          </a:r>
        </a:p>
      </xdr:txBody>
    </xdr:sp>
    <xdr:clientData/>
  </xdr:twoCellAnchor>
  <xdr:twoCellAnchor>
    <xdr:from>
      <xdr:col>1</xdr:col>
      <xdr:colOff>233508</xdr:colOff>
      <xdr:row>71</xdr:row>
      <xdr:rowOff>177490</xdr:rowOff>
    </xdr:from>
    <xdr:to>
      <xdr:col>2</xdr:col>
      <xdr:colOff>161644</xdr:colOff>
      <xdr:row>73</xdr:row>
      <xdr:rowOff>72683</xdr:rowOff>
    </xdr:to>
    <xdr:sp macro="" textlink="">
      <xdr:nvSpPr>
        <xdr:cNvPr id="399" name="Ромб 398">
          <a:extLst>
            <a:ext uri="{FF2B5EF4-FFF2-40B4-BE49-F238E27FC236}">
              <a16:creationId xmlns:a16="http://schemas.microsoft.com/office/drawing/2014/main" id="{B46B58BB-3916-199E-F74E-4977BAACD860}"/>
            </a:ext>
          </a:extLst>
        </xdr:cNvPr>
        <xdr:cNvSpPr/>
      </xdr:nvSpPr>
      <xdr:spPr bwMode="auto">
        <a:xfrm>
          <a:off x="568525" y="2023254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79</a:t>
          </a:r>
        </a:p>
      </xdr:txBody>
    </xdr:sp>
    <xdr:clientData/>
  </xdr:twoCellAnchor>
  <xdr:twoCellAnchor>
    <xdr:from>
      <xdr:col>2</xdr:col>
      <xdr:colOff>259784</xdr:colOff>
      <xdr:row>70</xdr:row>
      <xdr:rowOff>105232</xdr:rowOff>
    </xdr:from>
    <xdr:to>
      <xdr:col>3</xdr:col>
      <xdr:colOff>187919</xdr:colOff>
      <xdr:row>72</xdr:row>
      <xdr:rowOff>26701</xdr:rowOff>
    </xdr:to>
    <xdr:sp macro="" textlink="">
      <xdr:nvSpPr>
        <xdr:cNvPr id="400" name="Ромб 399">
          <a:extLst>
            <a:ext uri="{FF2B5EF4-FFF2-40B4-BE49-F238E27FC236}">
              <a16:creationId xmlns:a16="http://schemas.microsoft.com/office/drawing/2014/main" id="{3B29998C-F29C-E653-4512-5CA3887354A9}"/>
            </a:ext>
          </a:extLst>
        </xdr:cNvPr>
        <xdr:cNvSpPr/>
      </xdr:nvSpPr>
      <xdr:spPr bwMode="auto">
        <a:xfrm>
          <a:off x="929818" y="19996060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80</a:t>
          </a:r>
        </a:p>
      </xdr:txBody>
    </xdr:sp>
    <xdr:clientData/>
  </xdr:twoCellAnchor>
  <xdr:twoCellAnchor>
    <xdr:from>
      <xdr:col>4</xdr:col>
      <xdr:colOff>95559</xdr:colOff>
      <xdr:row>70</xdr:row>
      <xdr:rowOff>157784</xdr:rowOff>
    </xdr:from>
    <xdr:to>
      <xdr:col>5</xdr:col>
      <xdr:colOff>23695</xdr:colOff>
      <xdr:row>72</xdr:row>
      <xdr:rowOff>79253</xdr:rowOff>
    </xdr:to>
    <xdr:sp macro="" textlink="">
      <xdr:nvSpPr>
        <xdr:cNvPr id="409" name="Ромб 408">
          <a:extLst>
            <a:ext uri="{FF2B5EF4-FFF2-40B4-BE49-F238E27FC236}">
              <a16:creationId xmlns:a16="http://schemas.microsoft.com/office/drawing/2014/main" id="{4AE605B2-E007-6E76-A398-7A2E3DE94E8C}"/>
            </a:ext>
          </a:extLst>
        </xdr:cNvPr>
        <xdr:cNvSpPr/>
      </xdr:nvSpPr>
      <xdr:spPr bwMode="auto">
        <a:xfrm>
          <a:off x="1435628" y="20048612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81</a:t>
          </a:r>
        </a:p>
      </xdr:txBody>
    </xdr:sp>
    <xdr:clientData/>
  </xdr:twoCellAnchor>
  <xdr:twoCellAnchor>
    <xdr:from>
      <xdr:col>5</xdr:col>
      <xdr:colOff>266353</xdr:colOff>
      <xdr:row>71</xdr:row>
      <xdr:rowOff>129</xdr:rowOff>
    </xdr:from>
    <xdr:to>
      <xdr:col>6</xdr:col>
      <xdr:colOff>194489</xdr:colOff>
      <xdr:row>72</xdr:row>
      <xdr:rowOff>85822</xdr:rowOff>
    </xdr:to>
    <xdr:sp macro="" textlink="">
      <xdr:nvSpPr>
        <xdr:cNvPr id="410" name="Ромб 409">
          <a:extLst>
            <a:ext uri="{FF2B5EF4-FFF2-40B4-BE49-F238E27FC236}">
              <a16:creationId xmlns:a16="http://schemas.microsoft.com/office/drawing/2014/main" id="{0429735C-A63A-2686-D249-E82F565813A3}"/>
            </a:ext>
          </a:extLst>
        </xdr:cNvPr>
        <xdr:cNvSpPr/>
      </xdr:nvSpPr>
      <xdr:spPr bwMode="auto">
        <a:xfrm>
          <a:off x="1941439" y="20055181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82</a:t>
          </a:r>
        </a:p>
      </xdr:txBody>
    </xdr:sp>
    <xdr:clientData/>
  </xdr:twoCellAnchor>
  <xdr:twoCellAnchor>
    <xdr:from>
      <xdr:col>7</xdr:col>
      <xdr:colOff>43007</xdr:colOff>
      <xdr:row>71</xdr:row>
      <xdr:rowOff>19836</xdr:rowOff>
    </xdr:from>
    <xdr:to>
      <xdr:col>7</xdr:col>
      <xdr:colOff>306160</xdr:colOff>
      <xdr:row>72</xdr:row>
      <xdr:rowOff>105529</xdr:rowOff>
    </xdr:to>
    <xdr:sp macro="" textlink="">
      <xdr:nvSpPr>
        <xdr:cNvPr id="411" name="Ромб 410">
          <a:extLst>
            <a:ext uri="{FF2B5EF4-FFF2-40B4-BE49-F238E27FC236}">
              <a16:creationId xmlns:a16="http://schemas.microsoft.com/office/drawing/2014/main" id="{892232CF-7F7C-7D1C-9368-51A259141737}"/>
            </a:ext>
          </a:extLst>
        </xdr:cNvPr>
        <xdr:cNvSpPr/>
      </xdr:nvSpPr>
      <xdr:spPr bwMode="auto">
        <a:xfrm>
          <a:off x="2388128" y="20074888"/>
          <a:ext cx="263153" cy="276193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ru-RU" sz="800">
              <a:latin typeface="Times New Roman" pitchFamily="18" charset="0"/>
              <a:cs typeface="Times New Roman" pitchFamily="18" charset="0"/>
            </a:rPr>
            <a:t>83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07"/>
  <sheetViews>
    <sheetView view="pageLayout" topLeftCell="A70" zoomScale="115" zoomScaleNormal="190" zoomScaleSheetLayoutView="145" zoomScalePageLayoutView="115" workbookViewId="0">
      <selection activeCell="R84" sqref="R84"/>
    </sheetView>
  </sheetViews>
  <sheetFormatPr defaultRowHeight="15"/>
  <cols>
    <col min="1" max="27" width="5" customWidth="1"/>
    <col min="28" max="145" width="4.5703125" customWidth="1"/>
  </cols>
  <sheetData>
    <row r="1" spans="1:26" ht="15" customHeight="1">
      <c r="A1" s="94" t="s">
        <v>121</v>
      </c>
      <c r="B1" s="94"/>
      <c r="C1" s="94"/>
      <c r="D1" s="94"/>
      <c r="E1" s="94"/>
      <c r="F1" s="94"/>
      <c r="G1" s="94"/>
      <c r="H1" s="94"/>
      <c r="I1" s="94"/>
      <c r="S1" s="97" t="s">
        <v>304</v>
      </c>
      <c r="T1" s="98"/>
      <c r="U1" s="98"/>
      <c r="V1" s="98"/>
      <c r="W1" s="98"/>
      <c r="X1" s="98"/>
      <c r="Y1" s="98"/>
      <c r="Z1" s="98"/>
    </row>
    <row r="2" spans="1:26" ht="15.75" customHeight="1">
      <c r="A2" s="94"/>
      <c r="B2" s="94"/>
      <c r="C2" s="94"/>
      <c r="D2" s="94"/>
      <c r="E2" s="94"/>
      <c r="F2" s="94"/>
      <c r="G2" s="94"/>
      <c r="H2" s="94"/>
      <c r="I2" s="94"/>
      <c r="S2" s="98"/>
      <c r="T2" s="98"/>
      <c r="U2" s="98"/>
      <c r="V2" s="98"/>
      <c r="W2" s="98"/>
      <c r="X2" s="98"/>
      <c r="Y2" s="98"/>
      <c r="Z2" s="98"/>
    </row>
    <row r="3" spans="1:26">
      <c r="A3" s="94"/>
      <c r="B3" s="94"/>
      <c r="C3" s="94"/>
      <c r="D3" s="94"/>
      <c r="E3" s="94"/>
      <c r="F3" s="94"/>
      <c r="G3" s="94"/>
      <c r="H3" s="94"/>
      <c r="I3" s="94"/>
      <c r="S3" s="98"/>
      <c r="T3" s="98"/>
      <c r="U3" s="98"/>
      <c r="V3" s="98"/>
      <c r="W3" s="98"/>
      <c r="X3" s="98"/>
      <c r="Y3" s="98"/>
      <c r="Z3" s="98"/>
    </row>
    <row r="4" spans="1:26" ht="15" customHeight="1">
      <c r="A4" s="95" t="s">
        <v>76</v>
      </c>
      <c r="B4" s="95"/>
      <c r="C4" s="95"/>
      <c r="D4" s="95"/>
      <c r="E4" s="95"/>
      <c r="F4" s="95"/>
      <c r="G4" s="95"/>
      <c r="H4" s="95"/>
      <c r="I4" s="95"/>
      <c r="S4" s="3"/>
      <c r="T4" s="3"/>
      <c r="U4" s="3"/>
      <c r="V4" s="3"/>
      <c r="W4" s="3"/>
      <c r="X4" s="3"/>
      <c r="Y4" s="3"/>
      <c r="Z4" s="3"/>
    </row>
    <row r="5" spans="1:26">
      <c r="A5" s="95"/>
      <c r="B5" s="95"/>
      <c r="C5" s="95"/>
      <c r="D5" s="95"/>
      <c r="E5" s="95"/>
      <c r="F5" s="95"/>
      <c r="G5" s="95"/>
      <c r="H5" s="95"/>
      <c r="I5" s="95"/>
      <c r="S5" s="98" t="s">
        <v>305</v>
      </c>
      <c r="T5" s="98"/>
      <c r="U5" s="98"/>
      <c r="V5" s="98"/>
      <c r="W5" s="98"/>
      <c r="X5" s="98"/>
      <c r="Y5" s="98"/>
      <c r="Z5" s="98"/>
    </row>
    <row r="6" spans="1:26" ht="15" customHeight="1">
      <c r="A6" s="94" t="s">
        <v>77</v>
      </c>
      <c r="B6" s="96"/>
      <c r="C6" s="96"/>
      <c r="D6" s="96"/>
      <c r="E6" s="96"/>
      <c r="F6" s="96"/>
      <c r="G6" s="96"/>
      <c r="H6" s="96"/>
      <c r="I6" s="96"/>
      <c r="S6" s="24"/>
      <c r="T6" s="24"/>
      <c r="U6" s="24"/>
      <c r="V6" s="24"/>
      <c r="W6" s="24"/>
      <c r="X6" s="24"/>
      <c r="Y6" s="24"/>
      <c r="Z6" s="24"/>
    </row>
    <row r="7" spans="1:26">
      <c r="A7" s="96"/>
      <c r="B7" s="96"/>
      <c r="C7" s="96"/>
      <c r="D7" s="96"/>
      <c r="E7" s="96"/>
      <c r="F7" s="96"/>
      <c r="G7" s="96"/>
      <c r="H7" s="96"/>
      <c r="I7" s="96"/>
      <c r="S7" s="99" t="s">
        <v>300</v>
      </c>
      <c r="T7" s="99"/>
      <c r="U7" s="99"/>
      <c r="V7" s="99"/>
      <c r="W7" s="99"/>
      <c r="X7" s="99"/>
      <c r="Y7" s="99"/>
      <c r="Z7" s="99"/>
    </row>
    <row r="8" spans="1:26">
      <c r="A8" s="96"/>
      <c r="B8" s="96"/>
      <c r="C8" s="96"/>
      <c r="D8" s="96"/>
      <c r="E8" s="96"/>
      <c r="F8" s="96"/>
      <c r="G8" s="96"/>
      <c r="H8" s="96"/>
      <c r="I8" s="96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96"/>
      <c r="B9" s="96"/>
      <c r="C9" s="96"/>
      <c r="D9" s="96"/>
      <c r="E9" s="96"/>
      <c r="F9" s="96"/>
      <c r="G9" s="96"/>
      <c r="H9" s="96"/>
      <c r="I9" s="96"/>
      <c r="S9" s="99" t="s">
        <v>0</v>
      </c>
      <c r="T9" s="99"/>
      <c r="U9" s="99"/>
      <c r="V9" s="99"/>
      <c r="W9" s="99"/>
      <c r="X9" s="99"/>
      <c r="Y9" s="99"/>
      <c r="Z9" s="99"/>
    </row>
    <row r="10" spans="1:26" ht="15" customHeight="1">
      <c r="A10" s="95" t="s">
        <v>78</v>
      </c>
      <c r="B10" s="95"/>
      <c r="C10" s="95"/>
      <c r="D10" s="95"/>
      <c r="E10" s="95"/>
      <c r="F10" s="95"/>
      <c r="G10" s="95"/>
      <c r="H10" s="95"/>
      <c r="I10" s="95"/>
    </row>
    <row r="11" spans="1:26">
      <c r="A11" s="95"/>
      <c r="B11" s="95"/>
      <c r="C11" s="95"/>
      <c r="D11" s="95"/>
      <c r="E11" s="95"/>
      <c r="F11" s="95"/>
      <c r="G11" s="95"/>
      <c r="H11" s="95"/>
      <c r="I11" s="95"/>
    </row>
    <row r="12" spans="1:26">
      <c r="A12" s="95"/>
      <c r="B12" s="95"/>
      <c r="C12" s="95"/>
      <c r="D12" s="95"/>
      <c r="E12" s="95"/>
      <c r="F12" s="95"/>
      <c r="G12" s="95"/>
      <c r="H12" s="95"/>
      <c r="I12" s="95"/>
    </row>
    <row r="13" spans="1:26" ht="6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99" t="s">
        <v>306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>
      <c r="A15" s="91" t="s">
        <v>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5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7" t="s">
        <v>2</v>
      </c>
      <c r="B17" s="100" t="s">
        <v>308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spans="1:26" ht="6.75" customHeight="1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>
      <c r="A19" s="47" t="s">
        <v>3</v>
      </c>
      <c r="B19" s="92" t="s">
        <v>297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 ht="6.75" customHeight="1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>
      <c r="A21" s="49" t="s">
        <v>4</v>
      </c>
      <c r="B21" s="92" t="s">
        <v>298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6.75" customHeight="1">
      <c r="A22" s="49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42" customHeight="1">
      <c r="A23" s="49" t="s">
        <v>5</v>
      </c>
      <c r="B23" s="71" t="s">
        <v>299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5.25" customHeight="1">
      <c r="A24" s="34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" customHeight="1">
      <c r="A25" s="34" t="s">
        <v>6</v>
      </c>
      <c r="B25" s="70" t="s">
        <v>310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6.75" customHeight="1">
      <c r="A26" s="34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>
      <c r="A27" s="34" t="s">
        <v>7</v>
      </c>
      <c r="B27" s="92" t="s">
        <v>307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 ht="6.75" customHeight="1">
      <c r="A28" s="34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>
      <c r="A29" s="34" t="s">
        <v>8</v>
      </c>
      <c r="B29" s="101" t="s">
        <v>301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6.75" customHeight="1">
      <c r="A30" s="3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4" t="s">
        <v>9</v>
      </c>
      <c r="B31" s="3" t="s">
        <v>112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6.75" customHeight="1">
      <c r="A32" s="5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4" t="s">
        <v>10</v>
      </c>
      <c r="B33" s="3" t="s">
        <v>309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6">
      <c r="A34" s="3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6">
      <c r="A35" s="3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6">
      <c r="A36" s="3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6">
      <c r="A37" s="3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6">
      <c r="A38" s="3" t="s">
        <v>89</v>
      </c>
      <c r="B38" s="3" t="s">
        <v>12</v>
      </c>
    </row>
    <row r="39" spans="1:26" ht="7.5" customHeight="1"/>
    <row r="40" spans="1:26" ht="36.75" customHeight="1">
      <c r="A40" s="54" t="s">
        <v>13</v>
      </c>
      <c r="B40" s="54"/>
      <c r="C40" s="54"/>
      <c r="D40" s="54"/>
      <c r="E40" s="54" t="s">
        <v>14</v>
      </c>
      <c r="F40" s="54"/>
      <c r="G40" s="54"/>
      <c r="H40" s="54"/>
      <c r="I40" s="54"/>
      <c r="J40" s="54"/>
      <c r="K40" s="54" t="s">
        <v>15</v>
      </c>
      <c r="L40" s="54"/>
      <c r="M40" s="54"/>
      <c r="N40" s="54" t="s">
        <v>16</v>
      </c>
      <c r="O40" s="54"/>
      <c r="P40" s="54"/>
      <c r="Q40" s="54"/>
      <c r="R40" s="54"/>
      <c r="S40" s="54"/>
      <c r="T40" s="54"/>
      <c r="U40" s="54" t="s">
        <v>17</v>
      </c>
      <c r="V40" s="54"/>
      <c r="W40" s="54"/>
      <c r="X40" s="54"/>
      <c r="Y40" s="54"/>
      <c r="Z40" s="54"/>
    </row>
    <row r="41" spans="1:26" ht="102.75" customHeight="1">
      <c r="A41" s="73" t="s">
        <v>18</v>
      </c>
      <c r="B41" s="73"/>
      <c r="C41" s="73"/>
      <c r="D41" s="73"/>
      <c r="E41" s="73" t="s">
        <v>19</v>
      </c>
      <c r="F41" s="73"/>
      <c r="G41" s="73"/>
      <c r="H41" s="73"/>
      <c r="I41" s="73"/>
      <c r="J41" s="73"/>
      <c r="K41" s="73">
        <v>462667</v>
      </c>
      <c r="L41" s="73"/>
      <c r="M41" s="73"/>
      <c r="N41" s="73" t="s">
        <v>20</v>
      </c>
      <c r="O41" s="73"/>
      <c r="P41" s="73"/>
      <c r="Q41" s="73"/>
      <c r="R41" s="73"/>
      <c r="S41" s="73"/>
      <c r="T41" s="73"/>
      <c r="U41" s="73" t="s">
        <v>171</v>
      </c>
      <c r="V41" s="73"/>
      <c r="W41" s="73"/>
      <c r="X41" s="73"/>
      <c r="Y41" s="73"/>
      <c r="Z41" s="73"/>
    </row>
    <row r="42" spans="1:26" ht="24.75" customHeight="1">
      <c r="A42" s="73" t="s">
        <v>25</v>
      </c>
      <c r="B42" s="73"/>
      <c r="C42" s="73"/>
      <c r="D42" s="73"/>
      <c r="E42" s="73" t="s">
        <v>28</v>
      </c>
      <c r="F42" s="73"/>
      <c r="G42" s="73"/>
      <c r="H42" s="73"/>
      <c r="I42" s="73"/>
      <c r="J42" s="73"/>
      <c r="K42" s="73">
        <v>569521</v>
      </c>
      <c r="L42" s="73"/>
      <c r="M42" s="73"/>
      <c r="N42" s="73" t="s">
        <v>29</v>
      </c>
      <c r="O42" s="73"/>
      <c r="P42" s="73"/>
      <c r="Q42" s="73"/>
      <c r="R42" s="73"/>
      <c r="S42" s="73"/>
      <c r="T42" s="73"/>
      <c r="U42" s="73" t="s">
        <v>122</v>
      </c>
      <c r="V42" s="73"/>
      <c r="W42" s="73"/>
      <c r="X42" s="73"/>
      <c r="Y42" s="73"/>
      <c r="Z42" s="73"/>
    </row>
    <row r="43" spans="1:26" ht="22.5" customHeight="1">
      <c r="A43" s="73" t="s">
        <v>24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 t="s">
        <v>30</v>
      </c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47.25" customHeight="1">
      <c r="A44" s="73" t="s">
        <v>26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93" t="s">
        <v>149</v>
      </c>
      <c r="O44" s="93"/>
      <c r="P44" s="93"/>
      <c r="Q44" s="93"/>
      <c r="R44" s="93"/>
      <c r="S44" s="93"/>
      <c r="T44" s="93"/>
      <c r="U44" s="73"/>
      <c r="V44" s="73"/>
      <c r="W44" s="73"/>
      <c r="X44" s="73"/>
      <c r="Y44" s="73"/>
      <c r="Z44" s="73"/>
    </row>
    <row r="45" spans="1:26" ht="27.75" customHeight="1">
      <c r="A45" s="73" t="s">
        <v>27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 t="s">
        <v>31</v>
      </c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36" customHeight="1">
      <c r="A46" s="73" t="s">
        <v>113</v>
      </c>
      <c r="B46" s="73"/>
      <c r="C46" s="73"/>
      <c r="D46" s="73"/>
      <c r="E46" s="73" t="s">
        <v>114</v>
      </c>
      <c r="F46" s="73"/>
      <c r="G46" s="73"/>
      <c r="H46" s="73"/>
      <c r="I46" s="73"/>
      <c r="J46" s="73"/>
      <c r="K46" s="73">
        <v>631</v>
      </c>
      <c r="L46" s="73"/>
      <c r="M46" s="73"/>
      <c r="N46" s="73" t="s">
        <v>115</v>
      </c>
      <c r="O46" s="73"/>
      <c r="P46" s="73"/>
      <c r="Q46" s="73"/>
      <c r="R46" s="73"/>
      <c r="S46" s="73"/>
      <c r="T46" s="73"/>
      <c r="U46" s="73" t="s">
        <v>150</v>
      </c>
      <c r="V46" s="73"/>
      <c r="W46" s="73"/>
      <c r="X46" s="73"/>
      <c r="Y46" s="73"/>
      <c r="Z46" s="73"/>
    </row>
    <row r="47" spans="1:26" ht="30" customHeight="1">
      <c r="A47" s="73" t="s">
        <v>32</v>
      </c>
      <c r="B47" s="73"/>
      <c r="C47" s="73"/>
      <c r="D47" s="73"/>
      <c r="E47" s="73" t="s">
        <v>21</v>
      </c>
      <c r="F47" s="73"/>
      <c r="G47" s="73"/>
      <c r="H47" s="73"/>
      <c r="I47" s="73"/>
      <c r="J47" s="73"/>
      <c r="K47" s="73" t="s">
        <v>22</v>
      </c>
      <c r="L47" s="73"/>
      <c r="M47" s="73"/>
      <c r="N47" s="73" t="s">
        <v>23</v>
      </c>
      <c r="O47" s="73"/>
      <c r="P47" s="73"/>
      <c r="Q47" s="73"/>
      <c r="R47" s="73"/>
      <c r="S47" s="73"/>
      <c r="T47" s="73"/>
      <c r="U47" s="73" t="s">
        <v>143</v>
      </c>
      <c r="V47" s="73"/>
      <c r="W47" s="73"/>
      <c r="X47" s="73"/>
      <c r="Y47" s="73"/>
      <c r="Z47" s="73"/>
    </row>
    <row r="48" spans="1:26" ht="33.75" customHeight="1">
      <c r="A48" s="73" t="s">
        <v>32</v>
      </c>
      <c r="B48" s="73"/>
      <c r="C48" s="73"/>
      <c r="D48" s="73"/>
      <c r="E48" s="73" t="s">
        <v>33</v>
      </c>
      <c r="F48" s="73"/>
      <c r="G48" s="73"/>
      <c r="H48" s="73"/>
      <c r="I48" s="73"/>
      <c r="J48" s="73"/>
      <c r="K48" s="74" t="s">
        <v>182</v>
      </c>
      <c r="L48" s="74"/>
      <c r="M48" s="74"/>
      <c r="N48" s="73" t="s">
        <v>34</v>
      </c>
      <c r="O48" s="73"/>
      <c r="P48" s="73"/>
      <c r="Q48" s="73"/>
      <c r="R48" s="73"/>
      <c r="S48" s="73"/>
      <c r="T48" s="73"/>
      <c r="U48" s="73" t="s">
        <v>183</v>
      </c>
      <c r="V48" s="73"/>
      <c r="W48" s="73"/>
      <c r="X48" s="73"/>
      <c r="Y48" s="73"/>
      <c r="Z48" s="73"/>
    </row>
    <row r="49" spans="1:26" ht="42" customHeight="1">
      <c r="A49" s="76" t="s">
        <v>35</v>
      </c>
      <c r="B49" s="77"/>
      <c r="C49" s="77"/>
      <c r="D49" s="78"/>
      <c r="E49" s="79" t="s">
        <v>37</v>
      </c>
      <c r="F49" s="80"/>
      <c r="G49" s="80"/>
      <c r="H49" s="80"/>
      <c r="I49" s="80"/>
      <c r="J49" s="81"/>
      <c r="K49" s="85" t="s">
        <v>38</v>
      </c>
      <c r="L49" s="86"/>
      <c r="M49" s="87"/>
      <c r="N49" s="76" t="s">
        <v>148</v>
      </c>
      <c r="O49" s="77"/>
      <c r="P49" s="77"/>
      <c r="Q49" s="77"/>
      <c r="R49" s="77"/>
      <c r="S49" s="77"/>
      <c r="T49" s="78"/>
      <c r="U49" s="79" t="s">
        <v>184</v>
      </c>
      <c r="V49" s="80"/>
      <c r="W49" s="80"/>
      <c r="X49" s="80"/>
      <c r="Y49" s="80"/>
      <c r="Z49" s="81"/>
    </row>
    <row r="50" spans="1:26" ht="48.75" customHeight="1">
      <c r="A50" s="76" t="s">
        <v>36</v>
      </c>
      <c r="B50" s="77"/>
      <c r="C50" s="77"/>
      <c r="D50" s="78"/>
      <c r="E50" s="82"/>
      <c r="F50" s="83"/>
      <c r="G50" s="83"/>
      <c r="H50" s="83"/>
      <c r="I50" s="83"/>
      <c r="J50" s="84"/>
      <c r="K50" s="88"/>
      <c r="L50" s="89"/>
      <c r="M50" s="90"/>
      <c r="N50" s="76" t="s">
        <v>39</v>
      </c>
      <c r="O50" s="77"/>
      <c r="P50" s="77"/>
      <c r="Q50" s="77"/>
      <c r="R50" s="77"/>
      <c r="S50" s="77"/>
      <c r="T50" s="78"/>
      <c r="U50" s="82"/>
      <c r="V50" s="83"/>
      <c r="W50" s="83"/>
      <c r="X50" s="83"/>
      <c r="Y50" s="83"/>
      <c r="Z50" s="84"/>
    </row>
    <row r="51" spans="1:26" ht="29.25" customHeight="1">
      <c r="A51" s="54" t="s">
        <v>13</v>
      </c>
      <c r="B51" s="54"/>
      <c r="C51" s="54"/>
      <c r="D51" s="54"/>
      <c r="E51" s="54" t="s">
        <v>14</v>
      </c>
      <c r="F51" s="54"/>
      <c r="G51" s="54"/>
      <c r="H51" s="54"/>
      <c r="I51" s="54"/>
      <c r="J51" s="54"/>
      <c r="K51" s="54" t="s">
        <v>15</v>
      </c>
      <c r="L51" s="54"/>
      <c r="M51" s="54"/>
      <c r="N51" s="54" t="s">
        <v>16</v>
      </c>
      <c r="O51" s="54"/>
      <c r="P51" s="54"/>
      <c r="Q51" s="54"/>
      <c r="R51" s="54"/>
      <c r="S51" s="54"/>
      <c r="T51" s="54"/>
      <c r="U51" s="54" t="s">
        <v>17</v>
      </c>
      <c r="V51" s="54"/>
      <c r="W51" s="54"/>
      <c r="X51" s="54"/>
      <c r="Y51" s="54"/>
      <c r="Z51" s="54"/>
    </row>
    <row r="52" spans="1:26" ht="69.75" customHeight="1">
      <c r="A52" s="73" t="s">
        <v>116</v>
      </c>
      <c r="B52" s="73"/>
      <c r="C52" s="73"/>
      <c r="D52" s="73"/>
      <c r="E52" s="73" t="s">
        <v>117</v>
      </c>
      <c r="F52" s="73"/>
      <c r="G52" s="73"/>
      <c r="H52" s="73"/>
      <c r="I52" s="73"/>
      <c r="J52" s="73"/>
      <c r="K52" s="74" t="s">
        <v>118</v>
      </c>
      <c r="L52" s="74"/>
      <c r="M52" s="74"/>
      <c r="N52" s="73" t="s">
        <v>147</v>
      </c>
      <c r="O52" s="73"/>
      <c r="P52" s="73"/>
      <c r="Q52" s="73"/>
      <c r="R52" s="73"/>
      <c r="S52" s="73"/>
      <c r="T52" s="73"/>
      <c r="U52" s="73" t="s">
        <v>144</v>
      </c>
      <c r="V52" s="73"/>
      <c r="W52" s="73"/>
      <c r="X52" s="73"/>
      <c r="Y52" s="73"/>
      <c r="Z52" s="73"/>
    </row>
    <row r="53" spans="1:26" ht="76.5" customHeight="1">
      <c r="A53" s="73" t="s">
        <v>42</v>
      </c>
      <c r="B53" s="73"/>
      <c r="C53" s="73"/>
      <c r="D53" s="73"/>
      <c r="E53" s="73" t="s">
        <v>43</v>
      </c>
      <c r="F53" s="73"/>
      <c r="G53" s="73"/>
      <c r="H53" s="73"/>
      <c r="I53" s="73"/>
      <c r="J53" s="73"/>
      <c r="K53" s="74" t="s">
        <v>86</v>
      </c>
      <c r="L53" s="74"/>
      <c r="M53" s="74"/>
      <c r="N53" s="73" t="s">
        <v>146</v>
      </c>
      <c r="O53" s="73"/>
      <c r="P53" s="73"/>
      <c r="Q53" s="73"/>
      <c r="R53" s="73"/>
      <c r="S53" s="73"/>
      <c r="T53" s="73"/>
      <c r="U53" s="73" t="s">
        <v>145</v>
      </c>
      <c r="V53" s="73"/>
      <c r="W53" s="73"/>
      <c r="X53" s="73"/>
      <c r="Y53" s="73"/>
      <c r="Z53" s="73"/>
    </row>
    <row r="54" spans="1:26" ht="9" customHeight="1">
      <c r="A54" s="75"/>
      <c r="B54" s="75"/>
      <c r="C54" s="75"/>
      <c r="D54" s="75"/>
    </row>
    <row r="55" spans="1:26" s="3" customFormat="1" ht="12.75">
      <c r="A55" s="3" t="s">
        <v>11</v>
      </c>
      <c r="B55" s="3" t="s">
        <v>40</v>
      </c>
    </row>
    <row r="56" spans="1:26" s="3" customFormat="1" ht="7.5" customHeight="1"/>
    <row r="57" spans="1:26" s="3" customFormat="1" ht="32.25" customHeight="1">
      <c r="A57" s="54" t="s">
        <v>13</v>
      </c>
      <c r="B57" s="54"/>
      <c r="C57" s="54"/>
      <c r="D57" s="54"/>
      <c r="E57" s="54"/>
      <c r="F57" s="54" t="s">
        <v>92</v>
      </c>
      <c r="G57" s="54"/>
      <c r="H57" s="54"/>
      <c r="I57" s="54"/>
      <c r="J57" s="54"/>
      <c r="K57" s="54"/>
      <c r="L57" s="54"/>
      <c r="M57" s="54"/>
      <c r="N57" s="54"/>
      <c r="O57" s="54"/>
      <c r="P57" s="54" t="s">
        <v>93</v>
      </c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s="3" customFormat="1" ht="63.75" customHeight="1">
      <c r="A58" s="54" t="s">
        <v>119</v>
      </c>
      <c r="B58" s="54"/>
      <c r="C58" s="54"/>
      <c r="D58" s="54"/>
      <c r="E58" s="54"/>
      <c r="F58" s="54" t="s">
        <v>44</v>
      </c>
      <c r="G58" s="54"/>
      <c r="H58" s="54"/>
      <c r="I58" s="54"/>
      <c r="J58" s="54"/>
      <c r="K58" s="54"/>
      <c r="L58" s="54"/>
      <c r="M58" s="54"/>
      <c r="N58" s="54"/>
      <c r="O58" s="54"/>
      <c r="P58" s="54" t="s">
        <v>151</v>
      </c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s="3" customFormat="1" ht="63.75" customHeight="1">
      <c r="A59" s="54" t="s">
        <v>45</v>
      </c>
      <c r="B59" s="54"/>
      <c r="C59" s="54"/>
      <c r="D59" s="54"/>
      <c r="E59" s="54"/>
      <c r="F59" s="54" t="s">
        <v>44</v>
      </c>
      <c r="G59" s="54"/>
      <c r="H59" s="54"/>
      <c r="I59" s="54"/>
      <c r="J59" s="54"/>
      <c r="K59" s="54"/>
      <c r="L59" s="54"/>
      <c r="M59" s="54"/>
      <c r="N59" s="54"/>
      <c r="O59" s="54"/>
      <c r="P59" s="54" t="s">
        <v>151</v>
      </c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s="3" customFormat="1" ht="2.25" customHeight="1"/>
    <row r="61" spans="1:26" s="3" customFormat="1" ht="15" customHeight="1">
      <c r="A61" s="4" t="s">
        <v>41</v>
      </c>
      <c r="B61" s="71" t="s">
        <v>186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s="3" customFormat="1" ht="15" customHeight="1">
      <c r="A62" s="4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s="3" customFormat="1" ht="63" customHeight="1"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s="3" customFormat="1" ht="12.75">
      <c r="B64" s="72" t="s">
        <v>185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33" s="3" customFormat="1" ht="12.75"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33" s="3" customFormat="1" ht="17.25" customHeight="1"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33" s="3" customFormat="1" ht="12.75">
      <c r="A67" s="3" t="s">
        <v>90</v>
      </c>
      <c r="B67" s="3" t="s">
        <v>79</v>
      </c>
    </row>
    <row r="68" spans="1:233" s="3" customFormat="1" ht="12.75"/>
    <row r="69" spans="1:233" s="3" customFormat="1" ht="12.75">
      <c r="A69" s="3" t="s">
        <v>46</v>
      </c>
      <c r="B69" s="3" t="s">
        <v>47</v>
      </c>
    </row>
    <row r="70" spans="1:233" s="3" customFormat="1" ht="12.75"/>
    <row r="71" spans="1:233" s="3" customFormat="1" ht="12.75">
      <c r="S71" s="3" t="s">
        <v>95</v>
      </c>
    </row>
    <row r="72" spans="1:233">
      <c r="U72" s="43"/>
      <c r="V72" s="43"/>
      <c r="W72" s="43"/>
      <c r="X72" s="43"/>
      <c r="Y72" s="43"/>
      <c r="Z72" s="43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</row>
    <row r="73" spans="1:233">
      <c r="U73" s="43"/>
      <c r="V73" s="43"/>
      <c r="W73" s="43"/>
      <c r="X73" s="43"/>
      <c r="Y73" s="43"/>
      <c r="Z73" s="43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</row>
    <row r="74" spans="1:233">
      <c r="S74" s="3" t="s">
        <v>82</v>
      </c>
      <c r="U74" s="43"/>
      <c r="V74" s="43"/>
      <c r="W74" s="43"/>
      <c r="X74" s="43"/>
      <c r="Y74" s="43"/>
      <c r="Z74" s="43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</row>
    <row r="75" spans="1:233">
      <c r="U75" s="43"/>
      <c r="V75" s="43"/>
      <c r="W75" s="43"/>
      <c r="X75" s="43"/>
      <c r="Y75" s="43"/>
      <c r="Z75" s="43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</row>
    <row r="76" spans="1:233">
      <c r="U76" s="43"/>
      <c r="V76" s="43"/>
      <c r="W76" s="43"/>
      <c r="X76" s="43"/>
      <c r="Y76" s="43"/>
      <c r="Z76" s="43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</row>
    <row r="77" spans="1:233">
      <c r="U77" s="43"/>
      <c r="V77" s="43"/>
      <c r="W77" s="43"/>
      <c r="X77" s="43"/>
      <c r="Y77" s="43"/>
      <c r="Z77" s="43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</row>
    <row r="78" spans="1:233">
      <c r="S78" s="70" t="s">
        <v>81</v>
      </c>
      <c r="T78" s="70"/>
      <c r="U78" s="70"/>
      <c r="V78" s="70"/>
      <c r="W78" s="70"/>
      <c r="X78" s="70"/>
      <c r="Y78" s="43"/>
      <c r="Z78" s="43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</row>
    <row r="79" spans="1:233">
      <c r="S79" s="70"/>
      <c r="T79" s="70"/>
      <c r="U79" s="70"/>
      <c r="V79" s="70"/>
      <c r="W79" s="70"/>
      <c r="X79" s="70"/>
      <c r="Y79" s="43"/>
      <c r="Z79" s="43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</row>
    <row r="80" spans="1:233">
      <c r="S80" s="70"/>
      <c r="T80" s="70"/>
      <c r="U80" s="70"/>
      <c r="V80" s="70"/>
      <c r="W80" s="70"/>
      <c r="X80" s="70"/>
      <c r="Y80" s="43"/>
      <c r="Z80" s="43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</row>
    <row r="81" spans="13:233">
      <c r="U81" s="43"/>
      <c r="V81" s="43"/>
      <c r="W81" s="43"/>
      <c r="X81" s="43"/>
      <c r="Y81" s="43"/>
      <c r="Z81" s="43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</row>
    <row r="82" spans="13:233">
      <c r="U82" s="43"/>
      <c r="V82" s="43"/>
      <c r="W82" s="43"/>
      <c r="X82" s="43"/>
      <c r="Y82" s="43"/>
      <c r="Z82" s="43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</row>
    <row r="83" spans="13:233">
      <c r="S83" s="70" t="s">
        <v>80</v>
      </c>
      <c r="T83" s="70"/>
      <c r="U83" s="70"/>
      <c r="V83" s="70"/>
      <c r="W83" s="70"/>
      <c r="X83" s="70"/>
      <c r="Y83" s="43"/>
      <c r="Z83" s="43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</row>
    <row r="84" spans="13:233">
      <c r="S84" s="70"/>
      <c r="T84" s="70"/>
      <c r="U84" s="70"/>
      <c r="V84" s="70"/>
      <c r="W84" s="70"/>
      <c r="X84" s="70"/>
      <c r="Y84" s="43"/>
      <c r="Z84" s="43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</row>
    <row r="85" spans="13:233">
      <c r="U85" s="43"/>
      <c r="V85" s="43"/>
      <c r="W85" s="43"/>
      <c r="X85" s="43"/>
      <c r="Y85" s="43"/>
      <c r="Z85" s="43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</row>
    <row r="86" spans="13:233">
      <c r="U86" s="43"/>
      <c r="V86" s="43"/>
      <c r="W86" s="43"/>
      <c r="X86" s="43"/>
      <c r="Y86" s="43"/>
      <c r="Z86" s="43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</row>
    <row r="87" spans="13:233" ht="15" customHeight="1">
      <c r="S87" s="70" t="s">
        <v>120</v>
      </c>
      <c r="T87" s="70"/>
      <c r="U87" s="70"/>
      <c r="V87" s="70"/>
      <c r="W87" s="70"/>
      <c r="X87" s="70"/>
      <c r="Y87" s="43"/>
      <c r="Z87" s="43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</row>
    <row r="88" spans="13:233">
      <c r="S88" s="70"/>
      <c r="T88" s="70"/>
      <c r="U88" s="70"/>
      <c r="V88" s="70"/>
      <c r="W88" s="70"/>
      <c r="X88" s="70"/>
      <c r="Y88" s="43"/>
      <c r="Z88" s="43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</row>
    <row r="89" spans="13:233">
      <c r="S89" s="70"/>
      <c r="T89" s="70"/>
      <c r="U89" s="70"/>
      <c r="V89" s="70"/>
      <c r="W89" s="70"/>
      <c r="X89" s="70"/>
      <c r="Y89" s="43"/>
      <c r="Z89" s="43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</row>
    <row r="90" spans="13:233"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</row>
    <row r="91" spans="13:233"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</row>
    <row r="92" spans="13:233"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</row>
    <row r="93" spans="13:233"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</row>
    <row r="94" spans="13:233">
      <c r="M94" s="70"/>
      <c r="N94" s="70"/>
      <c r="O94" s="70"/>
      <c r="P94" s="70"/>
      <c r="Q94" s="70"/>
      <c r="R94" s="70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</row>
    <row r="95" spans="13:233">
      <c r="M95" s="70"/>
      <c r="N95" s="70"/>
      <c r="O95" s="70"/>
      <c r="P95" s="70"/>
      <c r="Q95" s="70"/>
      <c r="R95" s="70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</row>
    <row r="96" spans="13:233"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</row>
    <row r="97" spans="28:233"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</row>
    <row r="98" spans="28:233"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</row>
    <row r="99" spans="28:233"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</row>
    <row r="100" spans="28:233"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</row>
    <row r="101" spans="28:233"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</row>
    <row r="102" spans="28:233"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</row>
    <row r="103" spans="28:233"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</row>
    <row r="104" spans="28:233"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</row>
    <row r="105" spans="28:233"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</row>
    <row r="106" spans="28:233"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</row>
    <row r="107" spans="28:233"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</row>
    <row r="108" spans="28:233"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</row>
    <row r="109" spans="28:233"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</row>
    <row r="110" spans="28:233"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</row>
    <row r="111" spans="28:233"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</row>
    <row r="112" spans="28:233"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</row>
    <row r="113" spans="28:233"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</row>
    <row r="114" spans="28:233"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</row>
    <row r="115" spans="28:233"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</row>
    <row r="116" spans="28:233"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</row>
    <row r="117" spans="28:233"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</row>
    <row r="118" spans="28:233"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</row>
    <row r="119" spans="28:233"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</row>
    <row r="120" spans="28:233"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</row>
    <row r="121" spans="28:233"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</row>
    <row r="122" spans="28:233"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</row>
    <row r="123" spans="28:233"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</row>
    <row r="124" spans="28:233"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</row>
    <row r="125" spans="28:233"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</row>
    <row r="126" spans="28:233"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</row>
    <row r="127" spans="28:233"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</row>
    <row r="128" spans="28:233"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</row>
    <row r="129" spans="28:233"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</row>
    <row r="130" spans="28:233"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</row>
    <row r="131" spans="28:233"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</row>
    <row r="132" spans="28:233"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</row>
    <row r="133" spans="28:233"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</row>
    <row r="134" spans="28:233"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</row>
    <row r="135" spans="28:233"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</row>
    <row r="136" spans="28:233"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</row>
    <row r="137" spans="28:233"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</row>
    <row r="138" spans="28:233"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</row>
    <row r="139" spans="28:233"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</row>
    <row r="140" spans="28:233"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</row>
    <row r="141" spans="28:233"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</row>
    <row r="142" spans="28:233"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</row>
    <row r="143" spans="28:233"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</row>
    <row r="144" spans="28:233"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</row>
    <row r="145" spans="28:233"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</row>
    <row r="146" spans="28:233"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</row>
    <row r="147" spans="28:233"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</row>
    <row r="148" spans="28:233"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</row>
    <row r="149" spans="28:233"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</row>
    <row r="150" spans="28:233"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</row>
    <row r="151" spans="28:233"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</row>
    <row r="152" spans="28:233"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</row>
    <row r="153" spans="28:233"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</row>
    <row r="154" spans="28:233"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</row>
    <row r="155" spans="28:233"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</row>
    <row r="156" spans="28:233"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</row>
    <row r="157" spans="28:233"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</row>
    <row r="158" spans="28:233"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</row>
    <row r="159" spans="28:233"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</row>
    <row r="160" spans="28:233"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</row>
    <row r="161" spans="28:233"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</row>
    <row r="162" spans="28:233"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</row>
    <row r="163" spans="28:233"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</row>
    <row r="164" spans="28:233"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</row>
    <row r="165" spans="28:233"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</row>
    <row r="166" spans="28:233"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</row>
    <row r="167" spans="28:233"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</row>
    <row r="168" spans="28:233"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</row>
    <row r="169" spans="28:233"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</row>
    <row r="170" spans="28:233"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</row>
    <row r="171" spans="28:233"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</row>
    <row r="172" spans="28:233"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</row>
    <row r="173" spans="28:233"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</row>
    <row r="174" spans="28:233"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</row>
    <row r="175" spans="28:233"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</row>
    <row r="176" spans="28:233"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</row>
    <row r="177" spans="28:233"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</row>
    <row r="178" spans="28:233"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</row>
    <row r="179" spans="28:233"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</row>
    <row r="180" spans="28:233"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</row>
    <row r="181" spans="28:233"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</row>
    <row r="182" spans="28:233"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</row>
    <row r="183" spans="28:233"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</row>
    <row r="184" spans="28:233"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</row>
    <row r="185" spans="28:233"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</row>
    <row r="186" spans="28:233"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</row>
    <row r="187" spans="28:233"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</row>
    <row r="188" spans="28:233"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</row>
    <row r="189" spans="28:233"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</row>
    <row r="190" spans="28:233"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</row>
    <row r="191" spans="28:233"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</row>
    <row r="192" spans="28:233"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</row>
    <row r="193" spans="28:233"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</row>
    <row r="194" spans="28:233"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</row>
    <row r="195" spans="28:233"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</row>
    <row r="196" spans="28:233"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</row>
    <row r="197" spans="28:233"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</row>
    <row r="198" spans="28:233"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</row>
    <row r="199" spans="28:233"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</row>
    <row r="200" spans="28:233"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</row>
    <row r="201" spans="28:233"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</row>
    <row r="202" spans="28:233"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</row>
    <row r="203" spans="28:233"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</row>
    <row r="204" spans="28:233"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</row>
    <row r="205" spans="28:233"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</row>
    <row r="206" spans="28:233"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</row>
    <row r="207" spans="28:233"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</row>
    <row r="208" spans="28:233"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</row>
    <row r="209" spans="28:233"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</row>
    <row r="210" spans="28:233"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</row>
    <row r="211" spans="28:233"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</row>
    <row r="212" spans="28:233"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</row>
    <row r="213" spans="28:233"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</row>
    <row r="214" spans="28:233"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</row>
    <row r="215" spans="28:233"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</row>
    <row r="216" spans="28:233"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</row>
    <row r="217" spans="28:233"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</row>
    <row r="218" spans="28:233"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</row>
    <row r="219" spans="28:233"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</row>
    <row r="220" spans="28:233"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</row>
    <row r="221" spans="28:233"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</row>
    <row r="222" spans="28:233"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</row>
    <row r="223" spans="28:233"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</row>
    <row r="224" spans="28:233"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</row>
    <row r="225" spans="28:233"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</row>
    <row r="226" spans="28:233"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</row>
    <row r="227" spans="28:233"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</row>
    <row r="228" spans="28:233"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</row>
    <row r="229" spans="28:233"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</row>
    <row r="230" spans="28:233"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</row>
    <row r="231" spans="28:233"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</row>
    <row r="232" spans="28:233"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</row>
    <row r="233" spans="28:233"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</row>
    <row r="234" spans="28:233"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</row>
    <row r="235" spans="28:233"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</row>
    <row r="236" spans="28:233"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</row>
    <row r="237" spans="28:233"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</row>
    <row r="238" spans="28:233"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</row>
    <row r="239" spans="28:233"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</row>
    <row r="240" spans="28:233"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</row>
    <row r="241" spans="28:233"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</row>
    <row r="242" spans="28:233"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</row>
    <row r="243" spans="28:233"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</row>
    <row r="244" spans="28:233"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</row>
    <row r="245" spans="28:233"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</row>
    <row r="246" spans="28:233"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</row>
    <row r="247" spans="28:233"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</row>
    <row r="248" spans="28:233"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</row>
    <row r="249" spans="28:233"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</row>
    <row r="250" spans="28:233"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</row>
    <row r="251" spans="28:233"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</row>
    <row r="252" spans="28:233"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</row>
    <row r="253" spans="28:233"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</row>
    <row r="254" spans="28:233"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</row>
    <row r="255" spans="28:233"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</row>
    <row r="256" spans="28:233"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</row>
    <row r="257" spans="28:233"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</row>
    <row r="258" spans="28:233"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</row>
    <row r="259" spans="28:233"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</row>
    <row r="260" spans="28:233"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</row>
    <row r="261" spans="28:233"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</row>
    <row r="262" spans="28:233"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</row>
    <row r="263" spans="28:233"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</row>
    <row r="264" spans="28:233"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</row>
    <row r="265" spans="28:233"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</row>
    <row r="266" spans="28:233"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</row>
    <row r="267" spans="28:233"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</row>
    <row r="268" spans="28:233"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</row>
    <row r="269" spans="28:233"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</row>
    <row r="270" spans="28:233"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</row>
    <row r="271" spans="28:233"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</row>
    <row r="272" spans="28:233"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</row>
    <row r="273" spans="28:233"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</row>
    <row r="274" spans="28:233"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</row>
    <row r="275" spans="28:233"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</row>
    <row r="276" spans="28:233"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</row>
    <row r="277" spans="28:233"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</row>
    <row r="278" spans="28:233"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</row>
    <row r="279" spans="28:233"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</row>
    <row r="280" spans="28:233"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</row>
    <row r="281" spans="28:233"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</row>
    <row r="282" spans="28:233"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</row>
    <row r="283" spans="28:233"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</row>
    <row r="284" spans="28:233"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</row>
    <row r="285" spans="28:233"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</row>
    <row r="286" spans="28:233"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</row>
    <row r="287" spans="28:233"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</row>
    <row r="288" spans="28:233"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</row>
    <row r="289" spans="28:233"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</row>
    <row r="290" spans="28:233"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</row>
    <row r="291" spans="28:233"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</row>
    <row r="292" spans="28:233"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</row>
    <row r="293" spans="28:233"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</row>
    <row r="294" spans="28:233"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</row>
    <row r="295" spans="28:233"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</row>
    <row r="296" spans="28:233"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</row>
    <row r="297" spans="28:233"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</row>
    <row r="298" spans="28:233"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</row>
    <row r="299" spans="28:233"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</row>
    <row r="300" spans="28:233"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</row>
    <row r="301" spans="28:233"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</row>
    <row r="302" spans="28:233"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</row>
    <row r="303" spans="28:233"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</row>
    <row r="304" spans="28:233"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</row>
    <row r="305" spans="28:233"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</row>
    <row r="306" spans="28:233"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</row>
    <row r="307" spans="28:233"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</row>
  </sheetData>
  <mergeCells count="91">
    <mergeCell ref="A48:D48"/>
    <mergeCell ref="E48:J48"/>
    <mergeCell ref="K48:M48"/>
    <mergeCell ref="A47:D47"/>
    <mergeCell ref="N45:T45"/>
    <mergeCell ref="N46:T46"/>
    <mergeCell ref="A14:Z14"/>
    <mergeCell ref="B17:Z17"/>
    <mergeCell ref="U40:Z40"/>
    <mergeCell ref="E41:J41"/>
    <mergeCell ref="N40:T40"/>
    <mergeCell ref="A40:D40"/>
    <mergeCell ref="E40:J40"/>
    <mergeCell ref="K40:M40"/>
    <mergeCell ref="B29:Z29"/>
    <mergeCell ref="K41:M41"/>
    <mergeCell ref="N41:T41"/>
    <mergeCell ref="U41:Z41"/>
    <mergeCell ref="B23:Z23"/>
    <mergeCell ref="B19:Z19"/>
    <mergeCell ref="B21:Z21"/>
    <mergeCell ref="B25:Z25"/>
    <mergeCell ref="A1:I3"/>
    <mergeCell ref="A4:I5"/>
    <mergeCell ref="A6:I9"/>
    <mergeCell ref="A10:I12"/>
    <mergeCell ref="S1:Z3"/>
    <mergeCell ref="S5:Z5"/>
    <mergeCell ref="S7:Z7"/>
    <mergeCell ref="S9:Z9"/>
    <mergeCell ref="A41:D41"/>
    <mergeCell ref="E42:J45"/>
    <mergeCell ref="K42:M45"/>
    <mergeCell ref="A45:D45"/>
    <mergeCell ref="A15:Z15"/>
    <mergeCell ref="B27:Z27"/>
    <mergeCell ref="U42:Z45"/>
    <mergeCell ref="A43:D43"/>
    <mergeCell ref="N44:T44"/>
    <mergeCell ref="A42:D42"/>
    <mergeCell ref="N42:T42"/>
    <mergeCell ref="A44:D44"/>
    <mergeCell ref="U46:Z46"/>
    <mergeCell ref="N43:T43"/>
    <mergeCell ref="A46:D46"/>
    <mergeCell ref="E46:J46"/>
    <mergeCell ref="K46:M46"/>
    <mergeCell ref="U49:Z50"/>
    <mergeCell ref="E47:J47"/>
    <mergeCell ref="K47:M47"/>
    <mergeCell ref="N47:T47"/>
    <mergeCell ref="U47:Z47"/>
    <mergeCell ref="E49:J50"/>
    <mergeCell ref="K49:M50"/>
    <mergeCell ref="N50:T50"/>
    <mergeCell ref="N48:T48"/>
    <mergeCell ref="U48:Z48"/>
    <mergeCell ref="A49:D49"/>
    <mergeCell ref="N49:T49"/>
    <mergeCell ref="A50:D50"/>
    <mergeCell ref="N52:T52"/>
    <mergeCell ref="E51:J51"/>
    <mergeCell ref="K51:M51"/>
    <mergeCell ref="N51:T51"/>
    <mergeCell ref="A59:E59"/>
    <mergeCell ref="F59:O59"/>
    <mergeCell ref="P59:Z59"/>
    <mergeCell ref="U52:Z52"/>
    <mergeCell ref="N53:T53"/>
    <mergeCell ref="U53:Z53"/>
    <mergeCell ref="A54:D54"/>
    <mergeCell ref="F57:O57"/>
    <mergeCell ref="P57:Z57"/>
    <mergeCell ref="A57:E57"/>
    <mergeCell ref="A58:E58"/>
    <mergeCell ref="F58:O58"/>
    <mergeCell ref="P58:Z58"/>
    <mergeCell ref="E52:J52"/>
    <mergeCell ref="K52:M52"/>
    <mergeCell ref="U51:Z51"/>
    <mergeCell ref="A53:D53"/>
    <mergeCell ref="E53:J53"/>
    <mergeCell ref="K53:M53"/>
    <mergeCell ref="A51:D51"/>
    <mergeCell ref="A52:D52"/>
    <mergeCell ref="M94:R95"/>
    <mergeCell ref="B61:Z63"/>
    <mergeCell ref="B64:Z66"/>
    <mergeCell ref="S87:X89"/>
    <mergeCell ref="S78:X80"/>
    <mergeCell ref="S83:X84"/>
  </mergeCells>
  <phoneticPr fontId="6" type="noConversion"/>
  <pageMargins left="0.7" right="0.7" top="0.75" bottom="0.75" header="0.3" footer="0.3"/>
  <pageSetup paperSize="9" orientation="landscape" r:id="rId1"/>
  <headerFooter differentFirst="1">
    <oddFooter>&amp;R&amp;"Arial,обычный"&amp;9&amp;K000000Протокол от 24 декабря 2025 г. № 41/26.11.25-1-Р/25
Общее количество страниц &amp;N Страница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J407"/>
  <sheetViews>
    <sheetView view="pageLayout" zoomScaleNormal="85" zoomScaleSheetLayoutView="85" workbookViewId="0">
      <selection activeCell="M4" sqref="M4:M5"/>
    </sheetView>
  </sheetViews>
  <sheetFormatPr defaultRowHeight="15"/>
  <cols>
    <col min="1" max="3" width="5" customWidth="1"/>
    <col min="4" max="4" width="2.85546875" customWidth="1"/>
    <col min="5" max="6" width="2.140625" customWidth="1"/>
    <col min="7" max="7" width="1" customWidth="1"/>
    <col min="8" max="8" width="2.140625" customWidth="1"/>
    <col min="9" max="9" width="10" customWidth="1"/>
    <col min="10" max="10" width="50.42578125" customWidth="1"/>
    <col min="11" max="11" width="11.5703125" customWidth="1"/>
    <col min="12" max="12" width="13.140625" customWidth="1"/>
    <col min="13" max="13" width="19.42578125" customWidth="1"/>
    <col min="14" max="14" width="5" customWidth="1"/>
    <col min="15" max="15" width="4.5703125" customWidth="1"/>
    <col min="16" max="16" width="8.5703125" customWidth="1"/>
    <col min="17" max="20" width="4.5703125" customWidth="1"/>
    <col min="21" max="24" width="5.85546875" customWidth="1"/>
    <col min="25" max="43" width="4.5703125" customWidth="1"/>
    <col min="44" max="58" width="7.7109375" bestFit="1" customWidth="1"/>
    <col min="59" max="61" width="7.85546875" bestFit="1" customWidth="1"/>
    <col min="62" max="156" width="4.5703125" customWidth="1"/>
  </cols>
  <sheetData>
    <row r="1" spans="1:244" s="3" customFormat="1" ht="12.75">
      <c r="A1" s="3" t="s">
        <v>48</v>
      </c>
      <c r="B1" s="3" t="s">
        <v>49</v>
      </c>
    </row>
    <row r="2" spans="1:244" s="3" customFormat="1">
      <c r="A2" s="3" t="s">
        <v>91</v>
      </c>
      <c r="B2" s="3" t="s">
        <v>50</v>
      </c>
      <c r="Y2" t="s">
        <v>153</v>
      </c>
      <c r="AR2" s="3" t="s">
        <v>170</v>
      </c>
    </row>
    <row r="3" spans="1:244" s="3" customFormat="1">
      <c r="Y3" t="s">
        <v>154</v>
      </c>
    </row>
    <row r="4" spans="1:244" s="3" customFormat="1" ht="26.25" customHeight="1">
      <c r="A4" s="54" t="s">
        <v>51</v>
      </c>
      <c r="B4" s="54" t="s">
        <v>52</v>
      </c>
      <c r="C4" s="54"/>
      <c r="D4" s="54"/>
      <c r="E4" s="54"/>
      <c r="F4" s="54"/>
      <c r="G4" s="54"/>
      <c r="H4" s="54"/>
      <c r="I4" s="54" t="s">
        <v>53</v>
      </c>
      <c r="J4" s="58" t="s">
        <v>88</v>
      </c>
      <c r="K4" s="58" t="s">
        <v>165</v>
      </c>
      <c r="L4" s="54" t="s">
        <v>164</v>
      </c>
      <c r="M4" s="54" t="s">
        <v>311</v>
      </c>
      <c r="Y4" t="s">
        <v>155</v>
      </c>
    </row>
    <row r="5" spans="1:244" s="3" customFormat="1" ht="55.5" customHeight="1">
      <c r="A5" s="54"/>
      <c r="B5" s="54"/>
      <c r="C5" s="54"/>
      <c r="D5" s="54"/>
      <c r="E5" s="54"/>
      <c r="F5" s="54"/>
      <c r="G5" s="54"/>
      <c r="H5" s="54"/>
      <c r="I5" s="54"/>
      <c r="J5" s="59"/>
      <c r="K5" s="59"/>
      <c r="L5" s="56"/>
      <c r="M5" s="56"/>
      <c r="Y5" t="s">
        <v>156</v>
      </c>
      <c r="AO5" s="3">
        <v>8</v>
      </c>
      <c r="AP5" s="3">
        <v>16</v>
      </c>
    </row>
    <row r="6" spans="1:244" s="3" customFormat="1">
      <c r="A6" s="21">
        <v>1</v>
      </c>
      <c r="B6" s="57">
        <v>2</v>
      </c>
      <c r="C6" s="57"/>
      <c r="D6" s="57"/>
      <c r="E6" s="57"/>
      <c r="F6" s="57"/>
      <c r="G6" s="57"/>
      <c r="H6" s="57"/>
      <c r="I6" s="22">
        <v>3</v>
      </c>
      <c r="J6" s="23">
        <v>4</v>
      </c>
      <c r="K6" s="23" t="s">
        <v>87</v>
      </c>
      <c r="L6" s="22">
        <v>6</v>
      </c>
      <c r="M6" s="28">
        <v>7</v>
      </c>
      <c r="O6" s="6"/>
      <c r="P6" s="6"/>
      <c r="Q6" s="6"/>
      <c r="R6" s="6"/>
      <c r="S6" s="6" t="s">
        <v>159</v>
      </c>
      <c r="T6" s="6" t="s">
        <v>158</v>
      </c>
      <c r="U6" s="6" t="s">
        <v>160</v>
      </c>
      <c r="V6" s="6" t="s">
        <v>161</v>
      </c>
      <c r="W6" s="6" t="s">
        <v>162</v>
      </c>
      <c r="X6" s="6" t="s">
        <v>163</v>
      </c>
      <c r="Y6" t="s">
        <v>157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</row>
    <row r="7" spans="1:244" s="3" customFormat="1" ht="29.25" customHeight="1">
      <c r="A7" s="21">
        <v>1</v>
      </c>
      <c r="B7" s="54" t="s">
        <v>54</v>
      </c>
      <c r="C7" s="54"/>
      <c r="D7" s="54"/>
      <c r="E7" s="54"/>
      <c r="F7" s="54"/>
      <c r="G7" s="54"/>
      <c r="H7" s="54"/>
      <c r="I7" s="63">
        <v>46004</v>
      </c>
      <c r="J7" s="26" t="str">
        <f t="shared" ref="J7:J13" si="0">_xlfn.TEXTJOIN("; ", TRUE, Y7:AH7)</f>
        <v>0,14; 0,12; 0,16; 0,15; 0,13; 0,14; 0,12; 0,11; 0,15; 0,12</v>
      </c>
      <c r="K7" s="27">
        <f>AVERAGE(Y7:AP7)</f>
        <v>0.13399999999999998</v>
      </c>
      <c r="L7" s="27">
        <f>X7</f>
        <v>7.0174480958378152E-2</v>
      </c>
      <c r="M7" s="60">
        <v>0.3</v>
      </c>
      <c r="O7" s="6"/>
      <c r="P7" s="6">
        <v>20</v>
      </c>
      <c r="Q7" s="6"/>
      <c r="R7" s="6"/>
      <c r="S7" s="45" cm="1">
        <f t="array" ref="S7">SUM((Y7:AH7 - K7)^2)</f>
        <v>2.4400000000000008E-3</v>
      </c>
      <c r="T7" s="45">
        <f t="shared" ref="T7:T13" si="1">(1/K7) * SQRT(S7 / (10 * 9))*100</f>
        <v>3.885696356172466</v>
      </c>
      <c r="U7" s="6">
        <f>SQRT(AR7/3)</f>
        <v>25.894590431564563</v>
      </c>
      <c r="V7" s="6">
        <f>SQRT(T7^2+U7^2)</f>
        <v>26.18450782029036</v>
      </c>
      <c r="W7" s="6">
        <f>V7*2</f>
        <v>52.36901564058072</v>
      </c>
      <c r="X7" s="6">
        <f t="shared" ref="X7" si="2">W7*0.01*K7</f>
        <v>7.0174480958378152E-2</v>
      </c>
      <c r="Y7" s="26">
        <v>0.14000000000000001</v>
      </c>
      <c r="Z7" s="6">
        <v>0.12</v>
      </c>
      <c r="AA7" s="6">
        <v>0.16</v>
      </c>
      <c r="AB7" s="6">
        <v>0.15</v>
      </c>
      <c r="AC7" s="6">
        <v>0.13</v>
      </c>
      <c r="AD7" s="6">
        <v>0.14000000000000001</v>
      </c>
      <c r="AE7" s="6">
        <v>0.12</v>
      </c>
      <c r="AF7" s="6">
        <v>0.11</v>
      </c>
      <c r="AG7" s="6">
        <v>0.15</v>
      </c>
      <c r="AH7" s="6">
        <v>0.12</v>
      </c>
      <c r="AI7" s="6"/>
      <c r="AJ7" s="6"/>
      <c r="AK7" s="6"/>
      <c r="AL7" s="6"/>
      <c r="AM7" s="6"/>
      <c r="AN7" s="6"/>
      <c r="AO7" s="6"/>
      <c r="AP7" s="6"/>
      <c r="AQ7" s="6"/>
      <c r="AR7" s="6">
        <f>(15+4/K7)^2</f>
        <v>2011.5894408554248</v>
      </c>
      <c r="AS7" s="6">
        <f>(15+4/Z7)^2</f>
        <v>2336.1111111111113</v>
      </c>
      <c r="AT7" s="6">
        <f t="shared" ref="AT7:BF7" si="3">(15+4/AA7)^2</f>
        <v>1600</v>
      </c>
      <c r="AU7" s="6">
        <f t="shared" si="3"/>
        <v>1736.1111111111115</v>
      </c>
      <c r="AV7" s="6">
        <f t="shared" si="3"/>
        <v>2094.8224852071003</v>
      </c>
      <c r="AW7" s="6">
        <f t="shared" si="3"/>
        <v>1898.4693877551019</v>
      </c>
      <c r="AX7" s="6">
        <f t="shared" si="3"/>
        <v>2336.1111111111113</v>
      </c>
      <c r="AY7" s="6">
        <f t="shared" si="3"/>
        <v>2638.2231404958679</v>
      </c>
      <c r="AZ7" s="6">
        <f t="shared" si="3"/>
        <v>1736.1111111111115</v>
      </c>
      <c r="BA7" s="6">
        <f t="shared" si="3"/>
        <v>2336.1111111111113</v>
      </c>
      <c r="BB7" s="6" t="e">
        <f t="shared" si="3"/>
        <v>#DIV/0!</v>
      </c>
      <c r="BC7" s="6" t="e">
        <f t="shared" si="3"/>
        <v>#DIV/0!</v>
      </c>
      <c r="BD7" s="6" t="e">
        <f t="shared" si="3"/>
        <v>#DIV/0!</v>
      </c>
      <c r="BE7" s="6" t="e">
        <f t="shared" si="3"/>
        <v>#DIV/0!</v>
      </c>
      <c r="BF7" s="6" t="e">
        <f t="shared" si="3"/>
        <v>#DIV/0!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</row>
    <row r="8" spans="1:244" s="3" customFormat="1" ht="29.25" customHeight="1">
      <c r="A8" s="21">
        <v>2</v>
      </c>
      <c r="B8" s="54" t="s">
        <v>55</v>
      </c>
      <c r="C8" s="54"/>
      <c r="D8" s="54"/>
      <c r="E8" s="54"/>
      <c r="F8" s="54"/>
      <c r="G8" s="54"/>
      <c r="H8" s="54"/>
      <c r="I8" s="64"/>
      <c r="J8" s="26" t="str">
        <f t="shared" si="0"/>
        <v>0,14; 0,13; 0,12; 0,13; 0,13; 0,11; 0,21; 0,13; 0,15; 0,12</v>
      </c>
      <c r="K8" s="27">
        <f>AVERAGE(Y8:AM8)</f>
        <v>0.13700000000000001</v>
      </c>
      <c r="L8" s="27">
        <f t="shared" ref="L8:L37" si="4">X8</f>
        <v>7.211074045444886E-2</v>
      </c>
      <c r="M8" s="61"/>
      <c r="O8" s="6"/>
      <c r="P8" s="6">
        <v>20</v>
      </c>
      <c r="Q8" s="6"/>
      <c r="R8" s="6"/>
      <c r="S8" s="45" cm="1">
        <f t="array" ref="S8">SUM((Y8:AH8 - K8)^2)</f>
        <v>7.0099999999999989E-3</v>
      </c>
      <c r="T8" s="45">
        <f t="shared" si="1"/>
        <v>6.4419475887463369</v>
      </c>
      <c r="U8" s="6">
        <f>SQRT(AR8/3)</f>
        <v>25.517196203964843</v>
      </c>
      <c r="V8" s="6">
        <f t="shared" ref="V8:V37" si="5">SQRT(T8^2+U8^2)</f>
        <v>26.31778848702513</v>
      </c>
      <c r="W8" s="6">
        <f t="shared" ref="W8:W37" si="6">V8*2</f>
        <v>52.635576974050259</v>
      </c>
      <c r="X8" s="6">
        <f t="shared" ref="X8:X37" si="7">W8*0.01*K8</f>
        <v>7.211074045444886E-2</v>
      </c>
      <c r="Y8" s="26">
        <v>0.14000000000000001</v>
      </c>
      <c r="Z8" s="6">
        <v>0.13</v>
      </c>
      <c r="AA8" s="6">
        <v>0.12</v>
      </c>
      <c r="AB8" s="6">
        <v>0.13</v>
      </c>
      <c r="AC8" s="6">
        <v>0.13</v>
      </c>
      <c r="AD8" s="6">
        <v>0.11</v>
      </c>
      <c r="AE8" s="6">
        <v>0.21</v>
      </c>
      <c r="AF8" s="6">
        <v>0.13</v>
      </c>
      <c r="AG8" s="6">
        <v>0.15</v>
      </c>
      <c r="AH8" s="6">
        <v>0.12</v>
      </c>
      <c r="AI8" s="6"/>
      <c r="AJ8" s="6"/>
      <c r="AK8" s="6"/>
      <c r="AL8" s="6"/>
      <c r="AM8" s="6"/>
      <c r="AN8" s="6"/>
      <c r="AO8" s="6"/>
      <c r="AP8" s="6"/>
      <c r="AQ8" s="6"/>
      <c r="AR8" s="6">
        <f>(15+4/K8)^2</f>
        <v>1953.3819063349135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</row>
    <row r="9" spans="1:244" s="3" customFormat="1" ht="29.25" customHeight="1">
      <c r="A9" s="21">
        <v>3</v>
      </c>
      <c r="B9" s="54" t="s">
        <v>56</v>
      </c>
      <c r="C9" s="54"/>
      <c r="D9" s="54"/>
      <c r="E9" s="54"/>
      <c r="F9" s="54"/>
      <c r="G9" s="54"/>
      <c r="H9" s="54"/>
      <c r="I9" s="64"/>
      <c r="J9" s="26" t="str">
        <f t="shared" si="0"/>
        <v>0,14; 0,13; 0,11; 0,12; 0,14; 0,13; 0,14; 0,15; 0,14; 0,11</v>
      </c>
      <c r="K9" s="27">
        <f t="shared" ref="K9:K37" si="8">AVERAGE(Y9:AP9)</f>
        <v>0.13100000000000003</v>
      </c>
      <c r="L9" s="27">
        <f t="shared" si="4"/>
        <v>6.9420994262862912E-2</v>
      </c>
      <c r="M9" s="61"/>
      <c r="O9" s="6"/>
      <c r="P9" s="6">
        <v>20</v>
      </c>
      <c r="Q9" s="6"/>
      <c r="R9" s="6"/>
      <c r="S9" s="45" cm="1">
        <f t="array" ref="S9">SUM((Y9:AH9 - K9)^2)</f>
        <v>1.6900000000000005E-3</v>
      </c>
      <c r="T9" s="45">
        <f t="shared" si="1"/>
        <v>3.3078880407124678</v>
      </c>
      <c r="U9" s="6">
        <f t="shared" ref="U9:U37" si="9">SQRT(AR9/3)</f>
        <v>26.289269890962728</v>
      </c>
      <c r="V9" s="6">
        <f t="shared" si="5"/>
        <v>26.496562695749198</v>
      </c>
      <c r="W9" s="6">
        <f t="shared" si="6"/>
        <v>52.993125391498396</v>
      </c>
      <c r="X9" s="6">
        <f t="shared" si="7"/>
        <v>6.9420994262862912E-2</v>
      </c>
      <c r="Y9" s="26">
        <v>0.14000000000000001</v>
      </c>
      <c r="Z9" s="6">
        <v>0.13</v>
      </c>
      <c r="AA9" s="6">
        <v>0.11</v>
      </c>
      <c r="AB9" s="6">
        <v>0.12</v>
      </c>
      <c r="AC9" s="6">
        <v>0.14000000000000001</v>
      </c>
      <c r="AD9" s="6">
        <v>0.13</v>
      </c>
      <c r="AE9" s="6">
        <v>0.14000000000000001</v>
      </c>
      <c r="AF9" s="6">
        <v>0.15</v>
      </c>
      <c r="AG9" s="6">
        <v>0.14000000000000001</v>
      </c>
      <c r="AH9" s="6">
        <v>0.11</v>
      </c>
      <c r="AI9" s="6"/>
      <c r="AJ9" s="6"/>
      <c r="AK9" s="6"/>
      <c r="AL9" s="6"/>
      <c r="AM9" s="6"/>
      <c r="AN9" s="6"/>
      <c r="AO9" s="6"/>
      <c r="AP9" s="6"/>
      <c r="AQ9" s="6"/>
      <c r="AR9" s="6">
        <f t="shared" ref="AR9:AR37" si="10">(15+4/K9)^2</f>
        <v>2073.377134199638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</row>
    <row r="10" spans="1:244" s="3" customFormat="1" ht="29.25" customHeight="1">
      <c r="A10" s="21">
        <v>4</v>
      </c>
      <c r="B10" s="54" t="s">
        <v>57</v>
      </c>
      <c r="C10" s="54"/>
      <c r="D10" s="54"/>
      <c r="E10" s="54"/>
      <c r="F10" s="54"/>
      <c r="G10" s="54"/>
      <c r="H10" s="54"/>
      <c r="I10" s="64"/>
      <c r="J10" s="26" t="str">
        <f t="shared" si="0"/>
        <v>0,17; 0,18; 0,13; 0,13; 0,15; 0,14; 0,14; 0,14; 0,11; 0,13</v>
      </c>
      <c r="K10" s="27">
        <f t="shared" si="8"/>
        <v>0.14200000000000004</v>
      </c>
      <c r="L10" s="27">
        <f t="shared" si="4"/>
        <v>7.1953904997883511E-2</v>
      </c>
      <c r="M10" s="61"/>
      <c r="O10" s="6"/>
      <c r="P10" s="6">
        <v>20</v>
      </c>
      <c r="Q10" s="6"/>
      <c r="R10" s="6"/>
      <c r="S10" s="45" cm="1">
        <f t="array" ref="S10">SUM((Y10:AH10 - K10)^2)</f>
        <v>3.7599999999999999E-3</v>
      </c>
      <c r="T10" s="45">
        <f t="shared" si="1"/>
        <v>4.5518120726913871</v>
      </c>
      <c r="U10" s="6">
        <f t="shared" si="9"/>
        <v>24.923641902340883</v>
      </c>
      <c r="V10" s="6">
        <f t="shared" si="5"/>
        <v>25.33588204150827</v>
      </c>
      <c r="W10" s="6">
        <f t="shared" si="6"/>
        <v>50.671764083016541</v>
      </c>
      <c r="X10" s="6">
        <f t="shared" si="7"/>
        <v>7.1953904997883511E-2</v>
      </c>
      <c r="Y10" s="26">
        <v>0.17</v>
      </c>
      <c r="Z10" s="6">
        <v>0.18</v>
      </c>
      <c r="AA10" s="6">
        <v>0.13</v>
      </c>
      <c r="AB10" s="6">
        <v>0.13</v>
      </c>
      <c r="AC10" s="6">
        <v>0.15</v>
      </c>
      <c r="AD10" s="6">
        <v>0.14000000000000001</v>
      </c>
      <c r="AE10" s="6">
        <v>0.14000000000000001</v>
      </c>
      <c r="AF10" s="6">
        <v>0.14000000000000001</v>
      </c>
      <c r="AG10" s="6">
        <v>0.11</v>
      </c>
      <c r="AH10" s="6">
        <v>0.13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f t="shared" si="10"/>
        <v>1863.5637770283665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</row>
    <row r="11" spans="1:244" s="3" customFormat="1" ht="29.25" customHeight="1">
      <c r="A11" s="21">
        <v>5</v>
      </c>
      <c r="B11" s="54" t="s">
        <v>62</v>
      </c>
      <c r="C11" s="54"/>
      <c r="D11" s="54"/>
      <c r="E11" s="54"/>
      <c r="F11" s="54"/>
      <c r="G11" s="54"/>
      <c r="H11" s="54"/>
      <c r="I11" s="64"/>
      <c r="J11" s="26" t="str">
        <f t="shared" si="0"/>
        <v>0,15; 0,14; 0,13; 0,14; 0,15; 0,15; 0,15; 0,13; 0,16; 0,11</v>
      </c>
      <c r="K11" s="27">
        <f t="shared" si="8"/>
        <v>0.14100000000000001</v>
      </c>
      <c r="L11" s="27">
        <f t="shared" si="4"/>
        <v>7.1202270563046885E-2</v>
      </c>
      <c r="M11" s="61"/>
      <c r="O11" s="6"/>
      <c r="P11" s="6">
        <v>20</v>
      </c>
      <c r="Q11" s="6"/>
      <c r="R11" s="6"/>
      <c r="S11" s="45" cm="1">
        <f t="array" ref="S11">SUM((Y11:AH11 - K11)^2)</f>
        <v>1.8899999999999993E-3</v>
      </c>
      <c r="T11" s="45">
        <f t="shared" si="1"/>
        <v>3.250053684365843</v>
      </c>
      <c r="U11" s="6">
        <f t="shared" si="9"/>
        <v>25.038985078684831</v>
      </c>
      <c r="V11" s="6">
        <f t="shared" si="5"/>
        <v>25.249032114555629</v>
      </c>
      <c r="W11" s="6">
        <f t="shared" si="6"/>
        <v>50.498064229111257</v>
      </c>
      <c r="X11" s="6">
        <f t="shared" si="7"/>
        <v>7.1202270563046885E-2</v>
      </c>
      <c r="Y11" s="26">
        <v>0.15</v>
      </c>
      <c r="Z11" s="6">
        <v>0.14000000000000001</v>
      </c>
      <c r="AA11" s="6">
        <v>0.13</v>
      </c>
      <c r="AB11" s="6">
        <v>0.14000000000000001</v>
      </c>
      <c r="AC11" s="6">
        <v>0.15</v>
      </c>
      <c r="AD11" s="6">
        <v>0.15</v>
      </c>
      <c r="AE11" s="6">
        <v>0.15</v>
      </c>
      <c r="AF11" s="6">
        <v>0.13</v>
      </c>
      <c r="AG11" s="6">
        <v>0.16</v>
      </c>
      <c r="AH11" s="6">
        <v>0.11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f t="shared" si="10"/>
        <v>1880.8523213118049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</row>
    <row r="12" spans="1:244" s="3" customFormat="1" ht="29.25" customHeight="1">
      <c r="A12" s="21">
        <v>6</v>
      </c>
      <c r="B12" s="54" t="s">
        <v>63</v>
      </c>
      <c r="C12" s="54"/>
      <c r="D12" s="54"/>
      <c r="E12" s="54"/>
      <c r="F12" s="54"/>
      <c r="G12" s="54"/>
      <c r="H12" s="54"/>
      <c r="I12" s="64"/>
      <c r="J12" s="26" t="str">
        <f t="shared" si="0"/>
        <v>0,13; 0,14; 0,11; 0,15; 0,13; 0,13; 0,15; 0,12; 0,13; 0,15</v>
      </c>
      <c r="K12" s="27">
        <f t="shared" si="8"/>
        <v>0.13399999999999998</v>
      </c>
      <c r="L12" s="27">
        <f t="shared" si="4"/>
        <v>6.9920685224204027E-2</v>
      </c>
      <c r="M12" s="61"/>
      <c r="O12" s="6"/>
      <c r="P12" s="6">
        <v>20</v>
      </c>
      <c r="Q12" s="6"/>
      <c r="R12" s="6"/>
      <c r="S12" s="45" cm="1">
        <f t="array" ref="S12">SUM((Y12:AH12 - K12)^2)</f>
        <v>1.6399999999999995E-3</v>
      </c>
      <c r="T12" s="45">
        <f t="shared" si="1"/>
        <v>3.1856339489715659</v>
      </c>
      <c r="U12" s="6">
        <f t="shared" si="9"/>
        <v>25.894590431564563</v>
      </c>
      <c r="V12" s="6">
        <f t="shared" si="5"/>
        <v>26.089807919479117</v>
      </c>
      <c r="W12" s="6">
        <f t="shared" si="6"/>
        <v>52.179615838958235</v>
      </c>
      <c r="X12" s="6">
        <f t="shared" si="7"/>
        <v>6.9920685224204027E-2</v>
      </c>
      <c r="Y12" s="26">
        <v>0.13</v>
      </c>
      <c r="Z12" s="6">
        <v>0.14000000000000001</v>
      </c>
      <c r="AA12" s="6">
        <v>0.11</v>
      </c>
      <c r="AB12" s="6">
        <v>0.15</v>
      </c>
      <c r="AC12" s="6">
        <v>0.13</v>
      </c>
      <c r="AD12" s="6">
        <v>0.13</v>
      </c>
      <c r="AE12" s="6">
        <v>0.15</v>
      </c>
      <c r="AF12" s="6">
        <v>0.12</v>
      </c>
      <c r="AG12" s="6">
        <v>0.13</v>
      </c>
      <c r="AH12" s="6">
        <v>0.15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f t="shared" si="10"/>
        <v>2011.5894408554248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</row>
    <row r="13" spans="1:244" s="3" customFormat="1" ht="29.25" customHeight="1">
      <c r="A13" s="21">
        <v>7</v>
      </c>
      <c r="B13" s="54" t="s">
        <v>64</v>
      </c>
      <c r="C13" s="54"/>
      <c r="D13" s="54"/>
      <c r="E13" s="54"/>
      <c r="F13" s="54"/>
      <c r="G13" s="54"/>
      <c r="H13" s="54"/>
      <c r="I13" s="64"/>
      <c r="J13" s="26" t="str">
        <f t="shared" si="0"/>
        <v>0,11; 0,11; 0,14; 0,14; 0,14; 0,12; 0,12; 0,14; 0,16; 0,15</v>
      </c>
      <c r="K13" s="27">
        <f t="shared" si="8"/>
        <v>0.13299999999999998</v>
      </c>
      <c r="L13" s="27">
        <f t="shared" si="4"/>
        <v>7.0057143342655157E-2</v>
      </c>
      <c r="M13" s="61"/>
      <c r="O13" s="6"/>
      <c r="P13" s="6">
        <v>20</v>
      </c>
      <c r="Q13" s="6"/>
      <c r="R13" s="6"/>
      <c r="S13" s="45" cm="1">
        <f t="array" ref="S13">SUM((Y13:AH13 - K13)^2)</f>
        <v>2.6100000000000008E-3</v>
      </c>
      <c r="T13" s="45">
        <f t="shared" si="1"/>
        <v>4.0489960955898541</v>
      </c>
      <c r="U13" s="6">
        <f t="shared" si="9"/>
        <v>26.02417190820907</v>
      </c>
      <c r="V13" s="6">
        <f t="shared" si="5"/>
        <v>26.33727193332901</v>
      </c>
      <c r="W13" s="6">
        <f t="shared" si="6"/>
        <v>52.67454386665802</v>
      </c>
      <c r="X13" s="6">
        <f t="shared" si="7"/>
        <v>7.0057143342655157E-2</v>
      </c>
      <c r="Y13" s="26">
        <v>0.11</v>
      </c>
      <c r="Z13" s="6">
        <v>0.11</v>
      </c>
      <c r="AA13" s="6">
        <v>0.14000000000000001</v>
      </c>
      <c r="AB13" s="6">
        <v>0.14000000000000001</v>
      </c>
      <c r="AC13" s="6">
        <v>0.14000000000000001</v>
      </c>
      <c r="AD13" s="6">
        <v>0.12</v>
      </c>
      <c r="AE13" s="6">
        <v>0.12</v>
      </c>
      <c r="AF13" s="6">
        <v>0.14000000000000001</v>
      </c>
      <c r="AG13" s="6">
        <v>0.16</v>
      </c>
      <c r="AH13" s="6">
        <v>0.15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f t="shared" si="10"/>
        <v>2031.7725705240546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</row>
    <row r="14" spans="1:244" s="3" customFormat="1" ht="29.25" customHeight="1">
      <c r="A14" s="21">
        <v>8</v>
      </c>
      <c r="B14" s="54" t="s">
        <v>65</v>
      </c>
      <c r="C14" s="54"/>
      <c r="D14" s="54"/>
      <c r="E14" s="54"/>
      <c r="F14" s="54"/>
      <c r="G14" s="54"/>
      <c r="H14" s="54"/>
      <c r="I14" s="64"/>
      <c r="J14" s="26" t="str">
        <f t="shared" ref="J14:J20" si="11">_xlfn.TEXTJOIN("; ", TRUE, Y14:AJ14)</f>
        <v>0,14; 0,13; 0,15; 0,16; 0,11; 0,13; 0,14; 0,14; 0,12; 0,13; 0,13; 0,13</v>
      </c>
      <c r="K14" s="27">
        <f t="shared" si="8"/>
        <v>0.13416666666666666</v>
      </c>
      <c r="L14" s="27">
        <f t="shared" si="4"/>
        <v>6.9837984404309425E-2</v>
      </c>
      <c r="M14" s="61"/>
      <c r="O14" s="6"/>
      <c r="P14" s="6">
        <v>60</v>
      </c>
      <c r="Q14" s="6"/>
      <c r="R14" s="6"/>
      <c r="S14" s="45" cm="1">
        <f t="array" ref="S14">SUM((Y14:AJ14 - K14)^2)</f>
        <v>1.8916666666666671E-3</v>
      </c>
      <c r="T14" s="45">
        <f>(1/K14) * SQRT(S14 / (12 * 11))*100</f>
        <v>2.8215692261206073</v>
      </c>
      <c r="U14" s="6">
        <f t="shared" si="9"/>
        <v>25.873181318031989</v>
      </c>
      <c r="V14" s="6">
        <f t="shared" si="5"/>
        <v>26.026578038873076</v>
      </c>
      <c r="W14" s="6">
        <f t="shared" si="6"/>
        <v>52.053156077746152</v>
      </c>
      <c r="X14" s="6">
        <f t="shared" si="7"/>
        <v>6.9837984404309425E-2</v>
      </c>
      <c r="Y14" s="26">
        <v>0.14000000000000001</v>
      </c>
      <c r="Z14" s="6">
        <v>0.13</v>
      </c>
      <c r="AA14" s="6">
        <v>0.15</v>
      </c>
      <c r="AB14" s="6">
        <v>0.16</v>
      </c>
      <c r="AC14" s="6">
        <v>0.11</v>
      </c>
      <c r="AD14" s="6">
        <v>0.13</v>
      </c>
      <c r="AE14" s="6">
        <v>0.14000000000000001</v>
      </c>
      <c r="AF14" s="6">
        <v>0.14000000000000001</v>
      </c>
      <c r="AG14" s="6">
        <v>0.12</v>
      </c>
      <c r="AH14" s="6">
        <v>0.13</v>
      </c>
      <c r="AI14" s="6">
        <v>0.13</v>
      </c>
      <c r="AJ14" s="6">
        <v>0.13</v>
      </c>
      <c r="AK14" s="6"/>
      <c r="AL14" s="6"/>
      <c r="AM14" s="6"/>
      <c r="AN14" s="6"/>
      <c r="AO14" s="6"/>
      <c r="AP14" s="6"/>
      <c r="AQ14" s="6"/>
      <c r="AR14" s="6">
        <f t="shared" si="10"/>
        <v>2008.2645345472788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</row>
    <row r="15" spans="1:244" s="3" customFormat="1" ht="29.25" customHeight="1">
      <c r="A15" s="21">
        <v>9</v>
      </c>
      <c r="B15" s="54" t="s">
        <v>66</v>
      </c>
      <c r="C15" s="54"/>
      <c r="D15" s="54"/>
      <c r="E15" s="54"/>
      <c r="F15" s="54"/>
      <c r="G15" s="54"/>
      <c r="H15" s="54"/>
      <c r="I15" s="64"/>
      <c r="J15" s="26" t="str">
        <f t="shared" si="11"/>
        <v>0,18; 0,13; 0,15; 0,12; 0,14; 0,1; 0,13; 0,12; 0,11; 0,15; 0,13; 0,14</v>
      </c>
      <c r="K15" s="27">
        <f t="shared" si="8"/>
        <v>0.13333333333333333</v>
      </c>
      <c r="L15" s="27">
        <f t="shared" si="4"/>
        <v>7.0338287919700954E-2</v>
      </c>
      <c r="M15" s="61"/>
      <c r="O15" s="6"/>
      <c r="P15" s="6">
        <v>60</v>
      </c>
      <c r="Q15" s="6"/>
      <c r="R15" s="6"/>
      <c r="S15" s="45" cm="1">
        <f t="array" ref="S15">SUM((Y15:AJ15 - K15)^2)</f>
        <v>4.8666666666666667E-3</v>
      </c>
      <c r="T15" s="45">
        <f>(1/K15) * SQRT(S15 / (12 * 11))*100</f>
        <v>4.5539692976167903</v>
      </c>
      <c r="U15" s="6">
        <f t="shared" si="9"/>
        <v>25.98076211353316</v>
      </c>
      <c r="V15" s="6">
        <f t="shared" si="5"/>
        <v>26.376857969887855</v>
      </c>
      <c r="W15" s="6">
        <f t="shared" si="6"/>
        <v>52.753715939775709</v>
      </c>
      <c r="X15" s="6">
        <f t="shared" si="7"/>
        <v>7.0338287919700954E-2</v>
      </c>
      <c r="Y15" s="26">
        <v>0.18</v>
      </c>
      <c r="Z15" s="6">
        <v>0.13</v>
      </c>
      <c r="AA15" s="6">
        <v>0.15</v>
      </c>
      <c r="AB15" s="6">
        <v>0.12</v>
      </c>
      <c r="AC15" s="6">
        <v>0.14000000000000001</v>
      </c>
      <c r="AD15" s="6">
        <v>0.1</v>
      </c>
      <c r="AE15" s="6">
        <v>0.13</v>
      </c>
      <c r="AF15" s="6">
        <v>0.12</v>
      </c>
      <c r="AG15" s="6">
        <v>0.11</v>
      </c>
      <c r="AH15" s="6">
        <v>0.15</v>
      </c>
      <c r="AI15" s="6">
        <v>0.13</v>
      </c>
      <c r="AJ15" s="6">
        <v>0.14000000000000001</v>
      </c>
      <c r="AK15" s="6"/>
      <c r="AL15" s="6"/>
      <c r="AM15" s="6"/>
      <c r="AN15" s="6"/>
      <c r="AO15" s="6"/>
      <c r="AP15" s="6"/>
      <c r="AQ15" s="6"/>
      <c r="AR15" s="6">
        <f t="shared" si="10"/>
        <v>2025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</row>
    <row r="16" spans="1:244" s="3" customFormat="1" ht="29.25" customHeight="1">
      <c r="A16" s="21">
        <v>10</v>
      </c>
      <c r="B16" s="54" t="s">
        <v>67</v>
      </c>
      <c r="C16" s="54"/>
      <c r="D16" s="54"/>
      <c r="E16" s="54"/>
      <c r="F16" s="54"/>
      <c r="G16" s="54"/>
      <c r="H16" s="54"/>
      <c r="I16" s="64"/>
      <c r="J16" s="26" t="str">
        <f t="shared" si="11"/>
        <v>0,12; 0,1; 0,14; 0,15; 0,14; 0,13; 0,11; 0,13; 0,13; 0,12; 0,14; 0,12</v>
      </c>
      <c r="K16" s="27">
        <f t="shared" si="8"/>
        <v>0.12750000000000003</v>
      </c>
      <c r="L16" s="27">
        <f t="shared" si="4"/>
        <v>6.8763690097009597E-2</v>
      </c>
      <c r="M16" s="61"/>
      <c r="O16" s="6"/>
      <c r="P16" s="6">
        <v>60</v>
      </c>
      <c r="Q16" s="6"/>
      <c r="R16" s="6"/>
      <c r="S16" s="45" cm="1">
        <f t="array" ref="S16">SUM((Y16:AJ16 - K16)^2)</f>
        <v>2.2250000000000004E-3</v>
      </c>
      <c r="T16" s="45">
        <f>(1/K16) * SQRT(S16 / (12 * 11))*100</f>
        <v>3.2200888662719489</v>
      </c>
      <c r="U16" s="6">
        <f t="shared" si="9"/>
        <v>26.773203659479698</v>
      </c>
      <c r="V16" s="6">
        <f t="shared" si="5"/>
        <v>26.966152979219441</v>
      </c>
      <c r="W16" s="6">
        <f t="shared" si="6"/>
        <v>53.932305958438882</v>
      </c>
      <c r="X16" s="6">
        <f t="shared" si="7"/>
        <v>6.8763690097009597E-2</v>
      </c>
      <c r="Y16" s="26">
        <v>0.12</v>
      </c>
      <c r="Z16" s="6">
        <v>0.1</v>
      </c>
      <c r="AA16" s="6">
        <v>0.14000000000000001</v>
      </c>
      <c r="AB16" s="6">
        <v>0.15</v>
      </c>
      <c r="AC16" s="6">
        <v>0.14000000000000001</v>
      </c>
      <c r="AD16" s="6">
        <v>0.13</v>
      </c>
      <c r="AE16" s="6">
        <v>0.11</v>
      </c>
      <c r="AF16" s="6">
        <v>0.13</v>
      </c>
      <c r="AG16" s="6">
        <v>0.13</v>
      </c>
      <c r="AH16" s="6">
        <v>0.12</v>
      </c>
      <c r="AI16" s="6">
        <v>0.14000000000000001</v>
      </c>
      <c r="AJ16" s="6">
        <v>0.12</v>
      </c>
      <c r="AK16" s="6"/>
      <c r="AL16" s="6"/>
      <c r="AM16" s="6"/>
      <c r="AN16" s="6"/>
      <c r="AO16" s="6"/>
      <c r="AP16" s="6"/>
      <c r="AQ16" s="6"/>
      <c r="AR16" s="6">
        <f t="shared" si="10"/>
        <v>2150.4133025759311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</row>
    <row r="17" spans="1:244" s="3" customFormat="1" ht="29.25" customHeight="1">
      <c r="A17" s="21">
        <v>11</v>
      </c>
      <c r="B17" s="54" t="s">
        <v>68</v>
      </c>
      <c r="C17" s="54"/>
      <c r="D17" s="54"/>
      <c r="E17" s="54"/>
      <c r="F17" s="54"/>
      <c r="G17" s="54"/>
      <c r="H17" s="54"/>
      <c r="I17" s="64"/>
      <c r="J17" s="26" t="str">
        <f t="shared" si="11"/>
        <v>0,14; 0,16; 0,13; 0,14; 0,13; 0,12; 0,14; 0,15; 0,11; 0,15; 0,12; 0,15</v>
      </c>
      <c r="K17" s="27">
        <f t="shared" si="8"/>
        <v>0.13666666666666669</v>
      </c>
      <c r="L17" s="27">
        <f t="shared" si="4"/>
        <v>7.0392334867376075E-2</v>
      </c>
      <c r="M17" s="61"/>
      <c r="O17" s="6"/>
      <c r="P17" s="6">
        <v>60</v>
      </c>
      <c r="Q17" s="6"/>
      <c r="R17" s="6"/>
      <c r="S17" s="45" cm="1">
        <f t="array" ref="S17">SUM((Y17:AJ17 - K17)^2)</f>
        <v>2.4666666666666669E-3</v>
      </c>
      <c r="T17" s="45">
        <f>(1/K17) * SQRT(S17 / (12 * 11))*100</f>
        <v>3.1630471436113319</v>
      </c>
      <c r="U17" s="6">
        <f t="shared" si="9"/>
        <v>25.558310697052942</v>
      </c>
      <c r="V17" s="6">
        <f t="shared" si="5"/>
        <v>25.753293244161974</v>
      </c>
      <c r="W17" s="6">
        <f t="shared" si="6"/>
        <v>51.506586488323947</v>
      </c>
      <c r="X17" s="6">
        <f t="shared" si="7"/>
        <v>7.0392334867376075E-2</v>
      </c>
      <c r="Y17" s="26">
        <v>0.14000000000000001</v>
      </c>
      <c r="Z17" s="6">
        <v>0.16</v>
      </c>
      <c r="AA17" s="6">
        <v>0.13</v>
      </c>
      <c r="AB17" s="6">
        <v>0.14000000000000001</v>
      </c>
      <c r="AC17" s="6">
        <v>0.13</v>
      </c>
      <c r="AD17" s="6">
        <v>0.12</v>
      </c>
      <c r="AE17" s="6">
        <v>0.14000000000000001</v>
      </c>
      <c r="AF17" s="6">
        <v>0.15</v>
      </c>
      <c r="AG17" s="6">
        <v>0.11</v>
      </c>
      <c r="AH17" s="6">
        <v>0.15</v>
      </c>
      <c r="AI17" s="6">
        <v>0.12</v>
      </c>
      <c r="AJ17" s="6">
        <v>0.15</v>
      </c>
      <c r="AK17" s="6"/>
      <c r="AL17" s="6"/>
      <c r="AM17" s="6"/>
      <c r="AN17" s="6"/>
      <c r="AO17" s="6"/>
      <c r="AP17" s="6"/>
      <c r="AQ17" s="6"/>
      <c r="AR17" s="6">
        <f t="shared" si="10"/>
        <v>1959.6817370612728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</row>
    <row r="18" spans="1:244" s="3" customFormat="1" ht="29.25" customHeight="1">
      <c r="A18" s="21">
        <v>12</v>
      </c>
      <c r="B18" s="54" t="s">
        <v>69</v>
      </c>
      <c r="C18" s="54"/>
      <c r="D18" s="54"/>
      <c r="E18" s="54"/>
      <c r="F18" s="54"/>
      <c r="G18" s="54"/>
      <c r="H18" s="54"/>
      <c r="I18" s="65"/>
      <c r="J18" s="26" t="str">
        <f t="shared" si="11"/>
        <v>0,17; 0,12; 0,12; 0,13; 0,14; 0,11; 0,13; 0,14; 0,2; 0,11; 0,12; 0,15</v>
      </c>
      <c r="K18" s="27">
        <f t="shared" si="8"/>
        <v>0.13666666666666669</v>
      </c>
      <c r="L18" s="27">
        <f t="shared" si="4"/>
        <v>7.1502843059955079E-2</v>
      </c>
      <c r="M18" s="62"/>
      <c r="O18" s="6"/>
      <c r="P18" s="6">
        <v>60</v>
      </c>
      <c r="Q18" s="6"/>
      <c r="R18" s="6"/>
      <c r="S18" s="45" cm="1">
        <f t="array" ref="S18">SUM((Y18:AJ18 - K18)^2)</f>
        <v>7.6666666666666689E-3</v>
      </c>
      <c r="T18" s="45">
        <f t="shared" ref="T18:T28" si="12">(1/K18) * SQRT(S18 / (12 * 11))*100</f>
        <v>5.5763974900041209</v>
      </c>
      <c r="U18" s="6">
        <f t="shared" si="9"/>
        <v>25.558310697052942</v>
      </c>
      <c r="V18" s="6">
        <f t="shared" si="5"/>
        <v>26.159576729251853</v>
      </c>
      <c r="W18" s="6">
        <f t="shared" si="6"/>
        <v>52.319153458503706</v>
      </c>
      <c r="X18" s="6">
        <f t="shared" si="7"/>
        <v>7.1502843059955079E-2</v>
      </c>
      <c r="Y18" s="26">
        <v>0.17</v>
      </c>
      <c r="Z18" s="6">
        <v>0.12</v>
      </c>
      <c r="AA18" s="6">
        <v>0.12</v>
      </c>
      <c r="AB18" s="6">
        <v>0.13</v>
      </c>
      <c r="AC18" s="6">
        <v>0.14000000000000001</v>
      </c>
      <c r="AD18" s="6">
        <v>0.11</v>
      </c>
      <c r="AE18" s="6">
        <v>0.13</v>
      </c>
      <c r="AF18" s="6">
        <v>0.14000000000000001</v>
      </c>
      <c r="AG18" s="6">
        <v>0.2</v>
      </c>
      <c r="AH18" s="6">
        <v>0.11</v>
      </c>
      <c r="AI18" s="6">
        <v>0.12</v>
      </c>
      <c r="AJ18" s="6">
        <v>0.15</v>
      </c>
      <c r="AK18" s="6"/>
      <c r="AL18" s="6"/>
      <c r="AM18" s="6"/>
      <c r="AN18" s="6"/>
      <c r="AO18" s="6"/>
      <c r="AP18" s="6"/>
      <c r="AQ18" s="6"/>
      <c r="AR18" s="6">
        <f t="shared" si="10"/>
        <v>1959.6817370612728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</row>
    <row r="19" spans="1:244" s="3" customFormat="1" ht="29.25" customHeight="1">
      <c r="A19" s="21">
        <v>13</v>
      </c>
      <c r="B19" s="54" t="s">
        <v>83</v>
      </c>
      <c r="C19" s="54"/>
      <c r="D19" s="54"/>
      <c r="E19" s="54"/>
      <c r="F19" s="54"/>
      <c r="G19" s="54"/>
      <c r="H19" s="54"/>
      <c r="I19" s="55">
        <v>46004</v>
      </c>
      <c r="J19" s="26" t="str">
        <f t="shared" si="11"/>
        <v>0,13; 0,13; 0,16; 0,16; 0,14; 0,12; 0,14; 0,14; 0,13; 0,14; 0,16; 0,13</v>
      </c>
      <c r="K19" s="27">
        <f t="shared" si="8"/>
        <v>0.14000000000000001</v>
      </c>
      <c r="L19" s="27">
        <f>X19</f>
        <v>7.0865643254960961E-2</v>
      </c>
      <c r="M19" s="53">
        <f>0.3</f>
        <v>0.3</v>
      </c>
      <c r="O19" s="6"/>
      <c r="P19" s="6">
        <v>60</v>
      </c>
      <c r="Q19" s="6"/>
      <c r="R19" s="6"/>
      <c r="S19" s="45" cm="1">
        <f t="array" ref="S19">SUM((Y19:AJ19 - K19)^2)</f>
        <v>2E-3</v>
      </c>
      <c r="T19" s="45">
        <f t="shared" si="12"/>
        <v>2.7803533720054388</v>
      </c>
      <c r="U19" s="6">
        <f>SQRT(AR19/3)</f>
        <v>25.155976014690836</v>
      </c>
      <c r="V19" s="6">
        <f>SQRT(T19^2+U19^2)</f>
        <v>25.3091583053432</v>
      </c>
      <c r="W19" s="6">
        <f>V19*2</f>
        <v>50.618316610686399</v>
      </c>
      <c r="X19" s="6">
        <f>W19*0.01*K19</f>
        <v>7.0865643254960961E-2</v>
      </c>
      <c r="Y19" s="26">
        <v>0.13</v>
      </c>
      <c r="Z19" s="6">
        <v>0.13</v>
      </c>
      <c r="AA19" s="6">
        <v>0.16</v>
      </c>
      <c r="AB19" s="6">
        <v>0.16</v>
      </c>
      <c r="AC19" s="6">
        <v>0.14000000000000001</v>
      </c>
      <c r="AD19" s="6">
        <v>0.12</v>
      </c>
      <c r="AE19" s="6">
        <v>0.14000000000000001</v>
      </c>
      <c r="AF19" s="6">
        <v>0.14000000000000001</v>
      </c>
      <c r="AG19" s="6">
        <v>0.13</v>
      </c>
      <c r="AH19" s="6">
        <v>0.14000000000000001</v>
      </c>
      <c r="AI19" s="6">
        <v>0.16</v>
      </c>
      <c r="AJ19" s="6">
        <v>0.13</v>
      </c>
      <c r="AK19" s="6"/>
      <c r="AL19" s="6"/>
      <c r="AM19" s="6"/>
      <c r="AN19" s="6"/>
      <c r="AO19" s="6"/>
      <c r="AP19" s="6"/>
      <c r="AQ19" s="6"/>
      <c r="AR19" s="6">
        <f t="shared" si="10"/>
        <v>1898.4693877551019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</row>
    <row r="20" spans="1:244" s="3" customFormat="1" ht="29.25" customHeight="1">
      <c r="A20" s="21">
        <v>14</v>
      </c>
      <c r="B20" s="54" t="s">
        <v>84</v>
      </c>
      <c r="C20" s="54"/>
      <c r="D20" s="54"/>
      <c r="E20" s="54"/>
      <c r="F20" s="54"/>
      <c r="G20" s="54"/>
      <c r="H20" s="54"/>
      <c r="I20" s="55"/>
      <c r="J20" s="26" t="str">
        <f t="shared" si="11"/>
        <v>0,15; 0,15; 0,12; 0,13; 0,12; 0,15; 0,13; 0,14; 0,14; 0,16; 0,15; 0,14</v>
      </c>
      <c r="K20" s="27">
        <f t="shared" si="8"/>
        <v>0.13999999999999999</v>
      </c>
      <c r="L20" s="27">
        <f t="shared" si="4"/>
        <v>7.0822869102280694E-2</v>
      </c>
      <c r="M20" s="53"/>
      <c r="O20" s="6"/>
      <c r="P20" s="6">
        <v>60</v>
      </c>
      <c r="Q20" s="6"/>
      <c r="R20" s="6"/>
      <c r="S20" s="45" cm="1">
        <f t="array" ref="S20">SUM((Y20:AJ20 - K20)^2)</f>
        <v>1.8E-3</v>
      </c>
      <c r="T20" s="45">
        <f t="shared" si="12"/>
        <v>2.6376748066999873</v>
      </c>
      <c r="U20" s="6">
        <f t="shared" si="9"/>
        <v>25.155976014690836</v>
      </c>
      <c r="V20" s="6">
        <f t="shared" si="5"/>
        <v>25.293881822243108</v>
      </c>
      <c r="W20" s="6">
        <f t="shared" si="6"/>
        <v>50.587763644486216</v>
      </c>
      <c r="X20" s="6">
        <f t="shared" si="7"/>
        <v>7.0822869102280694E-2</v>
      </c>
      <c r="Y20" s="26">
        <v>0.15</v>
      </c>
      <c r="Z20" s="6">
        <v>0.15</v>
      </c>
      <c r="AA20" s="6">
        <v>0.12</v>
      </c>
      <c r="AB20" s="6">
        <v>0.13</v>
      </c>
      <c r="AC20" s="6">
        <v>0.12</v>
      </c>
      <c r="AD20" s="6">
        <v>0.15</v>
      </c>
      <c r="AE20" s="6">
        <v>0.13</v>
      </c>
      <c r="AF20" s="6">
        <v>0.14000000000000001</v>
      </c>
      <c r="AG20" s="6">
        <v>0.14000000000000001</v>
      </c>
      <c r="AH20" s="6">
        <v>0.16</v>
      </c>
      <c r="AI20" s="6">
        <v>0.15</v>
      </c>
      <c r="AJ20" s="6">
        <v>0.14000000000000001</v>
      </c>
      <c r="AK20" s="6"/>
      <c r="AL20" s="6"/>
      <c r="AM20" s="6"/>
      <c r="AN20" s="6"/>
      <c r="AO20" s="6"/>
      <c r="AP20" s="6"/>
      <c r="AQ20" s="6"/>
      <c r="AR20" s="6">
        <f t="shared" si="10"/>
        <v>1898.4693877551019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</row>
    <row r="21" spans="1:244" s="3" customFormat="1" ht="29.25" customHeight="1">
      <c r="A21" s="21">
        <v>15</v>
      </c>
      <c r="B21" s="54" t="s">
        <v>85</v>
      </c>
      <c r="C21" s="54"/>
      <c r="D21" s="54"/>
      <c r="E21" s="54"/>
      <c r="F21" s="54"/>
      <c r="G21" s="54"/>
      <c r="H21" s="54"/>
      <c r="I21" s="55"/>
      <c r="J21" s="26" t="str">
        <f t="shared" ref="J21:J28" si="13">_xlfn.TEXTJOIN("; ", TRUE, Y21:AJ21)</f>
        <v>0,12; 0,14; 0,15; 0,13; 0,1; 0,11; 0,12; 0,14; 0,12; 0,15; 0,13; 0,13</v>
      </c>
      <c r="K21" s="27">
        <f t="shared" si="8"/>
        <v>0.1283333333333333</v>
      </c>
      <c r="L21" s="27">
        <f t="shared" si="4"/>
        <v>6.8982083019997129E-2</v>
      </c>
      <c r="M21" s="53"/>
      <c r="O21" s="6"/>
      <c r="P21" s="6">
        <v>60</v>
      </c>
      <c r="Q21" s="6"/>
      <c r="R21" s="6"/>
      <c r="S21" s="45" cm="1">
        <f t="array" ref="S21">SUM((Y21:AJ21 - K21)^2)</f>
        <v>2.5666666666666663E-3</v>
      </c>
      <c r="T21" s="45">
        <f t="shared" si="12"/>
        <v>3.4360406637202483</v>
      </c>
      <c r="U21" s="6">
        <f t="shared" si="9"/>
        <v>26.655587103495062</v>
      </c>
      <c r="V21" s="6">
        <f t="shared" si="5"/>
        <v>26.876136241557329</v>
      </c>
      <c r="W21" s="6">
        <f t="shared" si="6"/>
        <v>53.752272483114659</v>
      </c>
      <c r="X21" s="6">
        <f t="shared" si="7"/>
        <v>6.8982083019997129E-2</v>
      </c>
      <c r="Y21" s="26">
        <v>0.12</v>
      </c>
      <c r="Z21" s="6">
        <v>0.14000000000000001</v>
      </c>
      <c r="AA21" s="6">
        <v>0.15</v>
      </c>
      <c r="AB21" s="6">
        <v>0.13</v>
      </c>
      <c r="AC21" s="6">
        <v>0.1</v>
      </c>
      <c r="AD21" s="6">
        <v>0.11</v>
      </c>
      <c r="AE21" s="6">
        <v>0.12</v>
      </c>
      <c r="AF21" s="6">
        <v>0.14000000000000001</v>
      </c>
      <c r="AG21" s="6">
        <v>0.12</v>
      </c>
      <c r="AH21" s="6">
        <v>0.15</v>
      </c>
      <c r="AI21" s="6">
        <v>0.13</v>
      </c>
      <c r="AJ21" s="6">
        <v>0.13</v>
      </c>
      <c r="AK21" s="6"/>
      <c r="AL21" s="6"/>
      <c r="AM21" s="6"/>
      <c r="AN21" s="6"/>
      <c r="AO21" s="6"/>
      <c r="AP21" s="6"/>
      <c r="AQ21" s="6"/>
      <c r="AR21" s="6">
        <f t="shared" si="10"/>
        <v>2131.5609714960369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</row>
    <row r="22" spans="1:244" s="3" customFormat="1" ht="29.25" customHeight="1">
      <c r="A22" s="21">
        <v>16</v>
      </c>
      <c r="B22" s="54" t="s">
        <v>124</v>
      </c>
      <c r="C22" s="54"/>
      <c r="D22" s="54"/>
      <c r="E22" s="54"/>
      <c r="F22" s="54"/>
      <c r="G22" s="54"/>
      <c r="H22" s="54"/>
      <c r="I22" s="55"/>
      <c r="J22" s="26" t="str">
        <f t="shared" si="13"/>
        <v>0,15; 0,14; 0,12; 0,14; 0,13; 0,11; 0,14; 0,15; 0,13; 0,14; 0,15; 0,13</v>
      </c>
      <c r="K22" s="27">
        <f t="shared" si="8"/>
        <v>0.13583333333333333</v>
      </c>
      <c r="L22" s="27">
        <f t="shared" si="4"/>
        <v>7.0081738892971437E-2</v>
      </c>
      <c r="M22" s="53"/>
      <c r="O22" s="6"/>
      <c r="P22" s="6">
        <v>60</v>
      </c>
      <c r="Q22" s="6"/>
      <c r="R22" s="6"/>
      <c r="S22" s="45" cm="1">
        <f t="array" ref="S22">SUM((Y22:AJ22 - K22)^2)</f>
        <v>1.6916666666666668E-3</v>
      </c>
      <c r="T22" s="45">
        <f t="shared" si="12"/>
        <v>2.6355063805266394</v>
      </c>
      <c r="U22" s="6">
        <f t="shared" si="9"/>
        <v>25.661979756311894</v>
      </c>
      <c r="V22" s="6">
        <f t="shared" si="5"/>
        <v>25.79695910170728</v>
      </c>
      <c r="W22" s="6">
        <f t="shared" si="6"/>
        <v>51.59391820341456</v>
      </c>
      <c r="X22" s="6">
        <f t="shared" si="7"/>
        <v>7.0081738892971437E-2</v>
      </c>
      <c r="Y22" s="26">
        <v>0.15</v>
      </c>
      <c r="Z22" s="6">
        <v>0.14000000000000001</v>
      </c>
      <c r="AA22" s="6">
        <v>0.12</v>
      </c>
      <c r="AB22" s="6">
        <v>0.14000000000000001</v>
      </c>
      <c r="AC22" s="6">
        <v>0.13</v>
      </c>
      <c r="AD22" s="6">
        <v>0.11</v>
      </c>
      <c r="AE22" s="6">
        <v>0.14000000000000001</v>
      </c>
      <c r="AF22" s="6">
        <v>0.15</v>
      </c>
      <c r="AG22" s="6">
        <v>0.13</v>
      </c>
      <c r="AH22" s="6">
        <v>0.14000000000000001</v>
      </c>
      <c r="AI22" s="6">
        <v>0.15</v>
      </c>
      <c r="AJ22" s="6">
        <v>0.13</v>
      </c>
      <c r="AK22" s="6"/>
      <c r="AL22" s="6"/>
      <c r="AM22" s="6"/>
      <c r="AN22" s="6"/>
      <c r="AO22" s="6"/>
      <c r="AP22" s="6"/>
      <c r="AQ22" s="6"/>
      <c r="AR22" s="6">
        <f t="shared" si="10"/>
        <v>1975.6116150400844</v>
      </c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</row>
    <row r="23" spans="1:244" s="3" customFormat="1" ht="29.25" customHeight="1">
      <c r="A23" s="21">
        <v>17</v>
      </c>
      <c r="B23" s="54" t="s">
        <v>125</v>
      </c>
      <c r="C23" s="54"/>
      <c r="D23" s="54"/>
      <c r="E23" s="54"/>
      <c r="F23" s="54"/>
      <c r="G23" s="54"/>
      <c r="H23" s="54"/>
      <c r="I23" s="55"/>
      <c r="J23" s="26" t="str">
        <f t="shared" si="13"/>
        <v>0,12; 0,13; 0,15; 0,13; 0,16; 0,13; 0,15; 0,12; 0,12; 0,15; 0,14; 0,14</v>
      </c>
      <c r="K23" s="27">
        <f t="shared" si="8"/>
        <v>0.13666666666666669</v>
      </c>
      <c r="L23" s="27">
        <f t="shared" si="4"/>
        <v>7.030618462098194E-2</v>
      </c>
      <c r="M23" s="53"/>
      <c r="O23" s="6"/>
      <c r="P23" s="6">
        <v>60</v>
      </c>
      <c r="Q23" s="6"/>
      <c r="R23" s="6"/>
      <c r="S23" s="45" cm="1">
        <f t="array" ref="S23">SUM((Y23:AJ23 - K23)^2)</f>
        <v>2.0666666666666667E-3</v>
      </c>
      <c r="T23" s="45">
        <f t="shared" si="12"/>
        <v>2.8952471967185351</v>
      </c>
      <c r="U23" s="6">
        <f t="shared" si="9"/>
        <v>25.558310697052942</v>
      </c>
      <c r="V23" s="6">
        <f t="shared" si="5"/>
        <v>25.72177486133485</v>
      </c>
      <c r="W23" s="6">
        <f t="shared" si="6"/>
        <v>51.443549722669701</v>
      </c>
      <c r="X23" s="6">
        <f t="shared" si="7"/>
        <v>7.030618462098194E-2</v>
      </c>
      <c r="Y23" s="26">
        <v>0.12</v>
      </c>
      <c r="Z23" s="6">
        <v>0.13</v>
      </c>
      <c r="AA23" s="6">
        <v>0.15</v>
      </c>
      <c r="AB23" s="6">
        <v>0.13</v>
      </c>
      <c r="AC23" s="6">
        <v>0.16</v>
      </c>
      <c r="AD23" s="6">
        <v>0.13</v>
      </c>
      <c r="AE23" s="6">
        <v>0.15</v>
      </c>
      <c r="AF23" s="6">
        <v>0.12</v>
      </c>
      <c r="AG23" s="6">
        <v>0.12</v>
      </c>
      <c r="AH23" s="6">
        <v>0.15</v>
      </c>
      <c r="AI23" s="6">
        <v>0.14000000000000001</v>
      </c>
      <c r="AJ23" s="6">
        <v>0.14000000000000001</v>
      </c>
      <c r="AK23" s="6"/>
      <c r="AL23" s="6"/>
      <c r="AM23" s="6"/>
      <c r="AN23" s="6"/>
      <c r="AO23" s="6"/>
      <c r="AP23" s="6"/>
      <c r="AQ23" s="6"/>
      <c r="AR23" s="6">
        <f t="shared" si="10"/>
        <v>1959.6817370612728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</row>
    <row r="24" spans="1:244" s="3" customFormat="1" ht="29.25" customHeight="1">
      <c r="A24" s="21">
        <v>18</v>
      </c>
      <c r="B24" s="54" t="s">
        <v>126</v>
      </c>
      <c r="C24" s="54"/>
      <c r="D24" s="54"/>
      <c r="E24" s="54"/>
      <c r="F24" s="54"/>
      <c r="G24" s="54"/>
      <c r="H24" s="54"/>
      <c r="I24" s="55"/>
      <c r="J24" s="26" t="str">
        <f t="shared" si="13"/>
        <v>0,12; 0,13; 0,15; 0,13; 0,11; 0,13; 0,14; 0,16; 0,14; 0,14; 0,13; 0,15</v>
      </c>
      <c r="K24" s="27">
        <f t="shared" si="8"/>
        <v>0.13583333333333333</v>
      </c>
      <c r="L24" s="27">
        <f t="shared" si="4"/>
        <v>7.0168164707250527E-2</v>
      </c>
      <c r="M24" s="53"/>
      <c r="O24" s="6"/>
      <c r="P24" s="6">
        <v>60</v>
      </c>
      <c r="Q24" s="6"/>
      <c r="R24" s="6"/>
      <c r="S24" s="45" cm="1">
        <f t="array" ref="S24">SUM((Y24:AJ24 - K24)^2)</f>
        <v>2.091666666666667E-3</v>
      </c>
      <c r="T24" s="45">
        <f t="shared" si="12"/>
        <v>2.9305754947952378</v>
      </c>
      <c r="U24" s="6">
        <f t="shared" si="9"/>
        <v>25.661979756311894</v>
      </c>
      <c r="V24" s="6">
        <f t="shared" si="5"/>
        <v>25.828772284877495</v>
      </c>
      <c r="W24" s="6">
        <f t="shared" si="6"/>
        <v>51.65754456975499</v>
      </c>
      <c r="X24" s="6">
        <f t="shared" si="7"/>
        <v>7.0168164707250527E-2</v>
      </c>
      <c r="Y24" s="26">
        <v>0.12</v>
      </c>
      <c r="Z24" s="6">
        <v>0.13</v>
      </c>
      <c r="AA24" s="6">
        <v>0.15</v>
      </c>
      <c r="AB24" s="6">
        <v>0.13</v>
      </c>
      <c r="AC24" s="6">
        <v>0.11</v>
      </c>
      <c r="AD24" s="6">
        <v>0.13</v>
      </c>
      <c r="AE24" s="6">
        <v>0.14000000000000001</v>
      </c>
      <c r="AF24" s="6">
        <v>0.16</v>
      </c>
      <c r="AG24" s="6">
        <v>0.14000000000000001</v>
      </c>
      <c r="AH24" s="6">
        <v>0.14000000000000001</v>
      </c>
      <c r="AI24" s="6">
        <v>0.13</v>
      </c>
      <c r="AJ24" s="6">
        <v>0.15</v>
      </c>
      <c r="AK24" s="6"/>
      <c r="AL24" s="6"/>
      <c r="AM24" s="6"/>
      <c r="AN24" s="6"/>
      <c r="AO24" s="6"/>
      <c r="AP24" s="6"/>
      <c r="AQ24" s="6"/>
      <c r="AR24" s="6">
        <f t="shared" si="10"/>
        <v>1975.6116150400844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</row>
    <row r="25" spans="1:244" s="3" customFormat="1" ht="29.25" customHeight="1">
      <c r="A25" s="21">
        <v>19</v>
      </c>
      <c r="B25" s="54" t="s">
        <v>127</v>
      </c>
      <c r="C25" s="54"/>
      <c r="D25" s="54"/>
      <c r="E25" s="54"/>
      <c r="F25" s="54"/>
      <c r="G25" s="54"/>
      <c r="H25" s="54"/>
      <c r="I25" s="55"/>
      <c r="J25" s="26" t="str">
        <f t="shared" si="13"/>
        <v>0,13; 0,13; 0,13; 0,15; 0,13; 0,15; 0,16; 0,16; 0,16; 0,17; 0,14; 0,11</v>
      </c>
      <c r="K25" s="27">
        <f t="shared" si="8"/>
        <v>0.14333333333333334</v>
      </c>
      <c r="L25" s="27">
        <f t="shared" si="4"/>
        <v>7.1749916411453091E-2</v>
      </c>
      <c r="M25" s="53"/>
      <c r="O25" s="6"/>
      <c r="P25" s="6">
        <v>60</v>
      </c>
      <c r="Q25" s="6"/>
      <c r="R25" s="6"/>
      <c r="S25" s="45" cm="1">
        <f t="array" ref="S25">SUM((Y25:AJ25 - K25)^2)</f>
        <v>3.4666666666666665E-3</v>
      </c>
      <c r="T25" s="45">
        <f t="shared" si="12"/>
        <v>3.5753772780735225</v>
      </c>
      <c r="U25" s="6">
        <f t="shared" si="9"/>
        <v>24.772354573368826</v>
      </c>
      <c r="V25" s="6">
        <f t="shared" si="5"/>
        <v>25.029040608646426</v>
      </c>
      <c r="W25" s="6">
        <f t="shared" si="6"/>
        <v>50.058081217292852</v>
      </c>
      <c r="X25" s="6">
        <f t="shared" si="7"/>
        <v>7.1749916411453091E-2</v>
      </c>
      <c r="Y25" s="26">
        <v>0.13</v>
      </c>
      <c r="Z25" s="6">
        <v>0.13</v>
      </c>
      <c r="AA25" s="6">
        <v>0.13</v>
      </c>
      <c r="AB25" s="6">
        <v>0.15</v>
      </c>
      <c r="AC25" s="6">
        <v>0.13</v>
      </c>
      <c r="AD25" s="6">
        <v>0.15</v>
      </c>
      <c r="AE25" s="6">
        <v>0.16</v>
      </c>
      <c r="AF25" s="6">
        <v>0.16</v>
      </c>
      <c r="AG25" s="6">
        <v>0.16</v>
      </c>
      <c r="AH25" s="6">
        <v>0.17</v>
      </c>
      <c r="AI25" s="6">
        <v>0.14000000000000001</v>
      </c>
      <c r="AJ25" s="6">
        <v>0.11</v>
      </c>
      <c r="AK25" s="6"/>
      <c r="AL25" s="6"/>
      <c r="AM25" s="6"/>
      <c r="AN25" s="6"/>
      <c r="AO25" s="6"/>
      <c r="AP25" s="6"/>
      <c r="AQ25" s="6"/>
      <c r="AR25" s="6">
        <f t="shared" si="10"/>
        <v>1841.0086533261222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</row>
    <row r="26" spans="1:244" s="3" customFormat="1" ht="29.25" customHeight="1">
      <c r="A26" s="21">
        <v>20</v>
      </c>
      <c r="B26" s="54" t="s">
        <v>128</v>
      </c>
      <c r="C26" s="54"/>
      <c r="D26" s="54"/>
      <c r="E26" s="54"/>
      <c r="F26" s="54"/>
      <c r="G26" s="54"/>
      <c r="H26" s="54"/>
      <c r="I26" s="55"/>
      <c r="J26" s="26" t="str">
        <f t="shared" si="13"/>
        <v>0,13; 0,13; 0,12; 0,12; 0,17; 0,13; 0,1; 0,13; 0,15; 0,15; 0,13; 0,14</v>
      </c>
      <c r="K26" s="27">
        <f t="shared" si="8"/>
        <v>0.13333333333333333</v>
      </c>
      <c r="L26" s="27">
        <f t="shared" si="4"/>
        <v>7.003606574508954E-2</v>
      </c>
      <c r="M26" s="53"/>
      <c r="O26" s="6"/>
      <c r="P26" s="6">
        <v>60</v>
      </c>
      <c r="Q26" s="6"/>
      <c r="R26" s="6"/>
      <c r="S26" s="45" cm="1">
        <f t="array" ref="S26">SUM((Y26:AJ26 - K26)^2)</f>
        <v>3.4666666666666674E-3</v>
      </c>
      <c r="T26" s="45">
        <f t="shared" si="12"/>
        <v>3.8435305739290375</v>
      </c>
      <c r="U26" s="6">
        <f t="shared" si="9"/>
        <v>25.98076211353316</v>
      </c>
      <c r="V26" s="6">
        <f t="shared" si="5"/>
        <v>26.263524654408577</v>
      </c>
      <c r="W26" s="6">
        <f t="shared" si="6"/>
        <v>52.527049308817155</v>
      </c>
      <c r="X26" s="6">
        <f t="shared" si="7"/>
        <v>7.003606574508954E-2</v>
      </c>
      <c r="Y26" s="26">
        <v>0.13</v>
      </c>
      <c r="Z26" s="6">
        <v>0.13</v>
      </c>
      <c r="AA26" s="6">
        <v>0.12</v>
      </c>
      <c r="AB26" s="6">
        <v>0.12</v>
      </c>
      <c r="AC26" s="6">
        <v>0.17</v>
      </c>
      <c r="AD26" s="6">
        <v>0.13</v>
      </c>
      <c r="AE26" s="6">
        <v>0.1</v>
      </c>
      <c r="AF26" s="6">
        <v>0.13</v>
      </c>
      <c r="AG26" s="6">
        <v>0.15</v>
      </c>
      <c r="AH26" s="6">
        <v>0.15</v>
      </c>
      <c r="AI26" s="6">
        <v>0.13</v>
      </c>
      <c r="AJ26" s="6">
        <v>0.14000000000000001</v>
      </c>
      <c r="AK26" s="6"/>
      <c r="AL26" s="6"/>
      <c r="AM26" s="6"/>
      <c r="AN26" s="6"/>
      <c r="AO26" s="6"/>
      <c r="AP26" s="6"/>
      <c r="AQ26" s="6"/>
      <c r="AR26" s="6">
        <f t="shared" si="10"/>
        <v>2025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</row>
    <row r="27" spans="1:244" s="3" customFormat="1" ht="29.25" customHeight="1">
      <c r="A27" s="21">
        <v>21</v>
      </c>
      <c r="B27" s="54" t="s">
        <v>129</v>
      </c>
      <c r="C27" s="54"/>
      <c r="D27" s="54"/>
      <c r="E27" s="54"/>
      <c r="F27" s="54"/>
      <c r="G27" s="54"/>
      <c r="H27" s="54"/>
      <c r="I27" s="55"/>
      <c r="J27" s="26" t="str">
        <f t="shared" si="13"/>
        <v>0,12; 0,15; 0,12; 0,13; 0,13; 0,13; 0,16; 0,14; 0,12; 0,16; 0,13; 0,11</v>
      </c>
      <c r="K27" s="27">
        <f t="shared" si="8"/>
        <v>0.13333333333333336</v>
      </c>
      <c r="L27" s="27">
        <f t="shared" si="4"/>
        <v>6.9906141982437345E-2</v>
      </c>
      <c r="M27" s="53"/>
      <c r="O27" s="6"/>
      <c r="P27" s="6">
        <v>60</v>
      </c>
      <c r="Q27" s="6"/>
      <c r="R27" s="6"/>
      <c r="S27" s="45" cm="1">
        <f t="array" ref="S27">SUM((Y27:AJ27 - K27)^2)</f>
        <v>2.8666666666666671E-3</v>
      </c>
      <c r="T27" s="45">
        <f t="shared" si="12"/>
        <v>3.4951264770976582</v>
      </c>
      <c r="U27" s="6">
        <f t="shared" si="9"/>
        <v>25.980762113533157</v>
      </c>
      <c r="V27" s="6">
        <f t="shared" si="5"/>
        <v>26.214803243413996</v>
      </c>
      <c r="W27" s="6">
        <f t="shared" si="6"/>
        <v>52.429606486827993</v>
      </c>
      <c r="X27" s="6">
        <f t="shared" si="7"/>
        <v>6.9906141982437345E-2</v>
      </c>
      <c r="Y27" s="26">
        <v>0.12</v>
      </c>
      <c r="Z27" s="6">
        <v>0.15</v>
      </c>
      <c r="AA27" s="6">
        <v>0.12</v>
      </c>
      <c r="AB27" s="6">
        <v>0.13</v>
      </c>
      <c r="AC27" s="6">
        <v>0.13</v>
      </c>
      <c r="AD27" s="6">
        <v>0.13</v>
      </c>
      <c r="AE27" s="6">
        <v>0.16</v>
      </c>
      <c r="AF27" s="6">
        <v>0.14000000000000001</v>
      </c>
      <c r="AG27" s="6">
        <v>0.12</v>
      </c>
      <c r="AH27" s="6">
        <v>0.16</v>
      </c>
      <c r="AI27" s="6">
        <v>0.13</v>
      </c>
      <c r="AJ27" s="6">
        <v>0.11</v>
      </c>
      <c r="AK27" s="6"/>
      <c r="AL27" s="6"/>
      <c r="AM27" s="6"/>
      <c r="AN27" s="6"/>
      <c r="AO27" s="6"/>
      <c r="AP27" s="6"/>
      <c r="AQ27" s="6"/>
      <c r="AR27" s="6">
        <f t="shared" si="10"/>
        <v>2024.9999999999993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</row>
    <row r="28" spans="1:244" s="3" customFormat="1" ht="29.25" customHeight="1">
      <c r="A28" s="21">
        <v>22</v>
      </c>
      <c r="B28" s="54" t="s">
        <v>130</v>
      </c>
      <c r="C28" s="54"/>
      <c r="D28" s="54"/>
      <c r="E28" s="54"/>
      <c r="F28" s="54"/>
      <c r="G28" s="54"/>
      <c r="H28" s="54"/>
      <c r="I28" s="55"/>
      <c r="J28" s="26" t="str">
        <f t="shared" si="13"/>
        <v>0,13; 0,14; 0,13; 0,11; 0,14; 0,12; 0,13; 0,14; 0,15; 0,11; 0,16; 0,13</v>
      </c>
      <c r="K28" s="27">
        <f t="shared" ref="K28" si="14">AVERAGE(Y28:AP28)</f>
        <v>0.13249999999999998</v>
      </c>
      <c r="L28" s="27">
        <f t="shared" ref="L28" si="15">X28</f>
        <v>6.9667106167962664E-2</v>
      </c>
      <c r="M28" s="53"/>
      <c r="O28" s="6"/>
      <c r="P28" s="6">
        <v>60</v>
      </c>
      <c r="Q28" s="6"/>
      <c r="R28" s="6"/>
      <c r="S28" s="45" cm="1">
        <f t="array" ref="S28">SUM((Y28:AJ28 - K28)^2)</f>
        <v>2.4250000000000001E-3</v>
      </c>
      <c r="T28" s="45">
        <f t="shared" si="12"/>
        <v>3.2348416603351944</v>
      </c>
      <c r="U28" s="6">
        <f t="shared" ref="U28" si="16">SQRT(AR28/3)</f>
        <v>26.08969612658781</v>
      </c>
      <c r="V28" s="6">
        <f t="shared" ref="V28" si="17">SQRT(T28^2+U28^2)</f>
        <v>26.289474025646292</v>
      </c>
      <c r="W28" s="6">
        <f t="shared" ref="W28" si="18">V28*2</f>
        <v>52.578948051292585</v>
      </c>
      <c r="X28" s="6">
        <f t="shared" ref="X28" si="19">W28*0.01*K28</f>
        <v>6.9667106167962664E-2</v>
      </c>
      <c r="Y28" s="26">
        <v>0.13</v>
      </c>
      <c r="Z28" s="6">
        <v>0.14000000000000001</v>
      </c>
      <c r="AA28" s="6">
        <v>0.13</v>
      </c>
      <c r="AB28" s="6">
        <v>0.11</v>
      </c>
      <c r="AC28" s="6">
        <v>0.14000000000000001</v>
      </c>
      <c r="AD28" s="6">
        <v>0.12</v>
      </c>
      <c r="AE28" s="6">
        <v>0.13</v>
      </c>
      <c r="AF28" s="6">
        <v>0.14000000000000001</v>
      </c>
      <c r="AG28" s="6">
        <v>0.15</v>
      </c>
      <c r="AH28" s="6">
        <v>0.11</v>
      </c>
      <c r="AI28" s="6">
        <v>0.16</v>
      </c>
      <c r="AJ28" s="6">
        <v>0.13</v>
      </c>
      <c r="AK28" s="6"/>
      <c r="AL28" s="6"/>
      <c r="AM28" s="6"/>
      <c r="AN28" s="6"/>
      <c r="AO28" s="6"/>
      <c r="AP28" s="6"/>
      <c r="AQ28" s="6"/>
      <c r="AR28" s="6">
        <f t="shared" ref="AR28" si="20">(15+4/K28)^2</f>
        <v>2042.0167319330728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</row>
    <row r="29" spans="1:244" s="3" customFormat="1" ht="29.25" customHeight="1">
      <c r="A29" s="21">
        <v>23</v>
      </c>
      <c r="B29" s="54" t="s">
        <v>172</v>
      </c>
      <c r="C29" s="54"/>
      <c r="D29" s="54"/>
      <c r="E29" s="54"/>
      <c r="F29" s="54"/>
      <c r="G29" s="54"/>
      <c r="H29" s="54"/>
      <c r="I29" s="55"/>
      <c r="J29" s="26" t="str">
        <f>_xlfn.TEXTJOIN("; ", TRUE, Y29:AM29)</f>
        <v>0,12; 0,13; 0,13; 0,15; 0,13; 0,14; 0,11; 0,13; 0,15; 0,12; 0,15; 0,15; 0,12; 0,14; 0,14</v>
      </c>
      <c r="K29" s="27">
        <f t="shared" si="8"/>
        <v>0.13400000000000001</v>
      </c>
      <c r="L29" s="27">
        <f t="shared" si="4"/>
        <v>6.9720626175370184E-2</v>
      </c>
      <c r="M29" s="53"/>
      <c r="O29" s="6"/>
      <c r="P29" s="6">
        <v>60</v>
      </c>
      <c r="Q29" s="6"/>
      <c r="R29" s="6"/>
      <c r="S29" s="45" cm="1">
        <f t="array" ref="S29">SUM((Y29:AM29 - K29)^2)</f>
        <v>2.3599999999999997E-3</v>
      </c>
      <c r="T29" s="45">
        <f>(1/K29) * SQRT(S29 / (15 * 14))*100</f>
        <v>2.5017364473060471</v>
      </c>
      <c r="U29" s="6">
        <f t="shared" si="9"/>
        <v>25.894590431564556</v>
      </c>
      <c r="V29" s="6">
        <f t="shared" si="5"/>
        <v>26.015159020660516</v>
      </c>
      <c r="W29" s="6">
        <f t="shared" si="6"/>
        <v>52.030318041321031</v>
      </c>
      <c r="X29" s="6">
        <f t="shared" si="7"/>
        <v>6.9720626175370184E-2</v>
      </c>
      <c r="Y29" s="26">
        <v>0.12</v>
      </c>
      <c r="Z29" s="6">
        <v>0.13</v>
      </c>
      <c r="AA29" s="6">
        <v>0.13</v>
      </c>
      <c r="AB29" s="6">
        <v>0.15</v>
      </c>
      <c r="AC29" s="6">
        <v>0.13</v>
      </c>
      <c r="AD29" s="6">
        <v>0.14000000000000001</v>
      </c>
      <c r="AE29" s="6">
        <v>0.11</v>
      </c>
      <c r="AF29" s="6">
        <v>0.13</v>
      </c>
      <c r="AG29" s="6">
        <v>0.15</v>
      </c>
      <c r="AH29" s="6">
        <v>0.12</v>
      </c>
      <c r="AI29" s="6">
        <v>0.15</v>
      </c>
      <c r="AJ29" s="6">
        <v>0.15</v>
      </c>
      <c r="AK29" s="6">
        <v>0.12</v>
      </c>
      <c r="AL29" s="6">
        <v>0.14000000000000001</v>
      </c>
      <c r="AM29" s="6">
        <v>0.14000000000000001</v>
      </c>
      <c r="AN29" s="6"/>
      <c r="AO29" s="6"/>
      <c r="AP29" s="6"/>
      <c r="AQ29" s="6"/>
      <c r="AR29" s="6">
        <f t="shared" si="10"/>
        <v>2011.5894408554241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</row>
    <row r="30" spans="1:244" s="3" customFormat="1" ht="29.25" customHeight="1">
      <c r="A30" s="21">
        <v>24</v>
      </c>
      <c r="B30" s="54" t="s">
        <v>173</v>
      </c>
      <c r="C30" s="54"/>
      <c r="D30" s="54"/>
      <c r="E30" s="54"/>
      <c r="F30" s="54"/>
      <c r="G30" s="54"/>
      <c r="H30" s="54"/>
      <c r="I30" s="55"/>
      <c r="J30" s="26" t="str">
        <f t="shared" ref="J30:J38" si="21">_xlfn.TEXTJOIN("; ", TRUE, Y30:AM30)</f>
        <v>0,11; 0,16; 0,12; 0,14; 0,12; 0,13; 0,16; 0,16; 0,14; 0,12; 0,16; 0,16; 0,15; 0,13; 0,13</v>
      </c>
      <c r="K30" s="27">
        <f t="shared" ref="K30" si="22">AVERAGE(Y30:AP30)</f>
        <v>0.13933333333333334</v>
      </c>
      <c r="L30" s="27">
        <f t="shared" ref="L30" si="23">X30</f>
        <v>7.0927197192524827E-2</v>
      </c>
      <c r="M30" s="53"/>
      <c r="O30" s="6"/>
      <c r="P30" s="6">
        <v>60</v>
      </c>
      <c r="Q30" s="6"/>
      <c r="R30" s="6"/>
      <c r="S30" s="45" cm="1">
        <f t="array" ref="S30">SUM((Y30:AM30 - K30)^2)</f>
        <v>4.4933333333333336E-3</v>
      </c>
      <c r="T30" s="45">
        <f t="shared" ref="T30:T38" si="24">(1/K30) * SQRT(S30 / (15 * 14))*100</f>
        <v>3.3198590415805587</v>
      </c>
      <c r="U30" s="6">
        <f t="shared" ref="U30" si="25">SQRT(AR30/3)</f>
        <v>25.234902914101585</v>
      </c>
      <c r="V30" s="6">
        <f t="shared" ref="V30" si="26">SQRT(T30^2+U30^2)</f>
        <v>25.452343490140489</v>
      </c>
      <c r="W30" s="6">
        <f t="shared" ref="W30" si="27">V30*2</f>
        <v>50.904686980280978</v>
      </c>
      <c r="X30" s="6">
        <f t="shared" ref="X30" si="28">W30*0.01*K30</f>
        <v>7.0927197192524827E-2</v>
      </c>
      <c r="Y30" s="26">
        <v>0.11</v>
      </c>
      <c r="Z30" s="6">
        <v>0.16</v>
      </c>
      <c r="AA30" s="6">
        <v>0.12</v>
      </c>
      <c r="AB30" s="6">
        <v>0.14000000000000001</v>
      </c>
      <c r="AC30" s="6">
        <v>0.12</v>
      </c>
      <c r="AD30" s="6">
        <v>0.13</v>
      </c>
      <c r="AE30" s="6">
        <v>0.16</v>
      </c>
      <c r="AF30" s="6">
        <v>0.16</v>
      </c>
      <c r="AG30" s="6">
        <v>0.14000000000000001</v>
      </c>
      <c r="AH30" s="6">
        <v>0.12</v>
      </c>
      <c r="AI30" s="6">
        <v>0.16</v>
      </c>
      <c r="AJ30" s="6">
        <v>0.16</v>
      </c>
      <c r="AK30" s="6">
        <v>0.15</v>
      </c>
      <c r="AL30" s="6">
        <v>0.13</v>
      </c>
      <c r="AM30" s="6">
        <v>0.13</v>
      </c>
      <c r="AN30" s="6"/>
      <c r="AO30" s="6"/>
      <c r="AP30" s="6"/>
      <c r="AQ30" s="6"/>
      <c r="AR30" s="6">
        <f t="shared" ref="AR30" si="29">(15+4/K30)^2</f>
        <v>1910.400975252398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</row>
    <row r="31" spans="1:244" s="3" customFormat="1" ht="29.25" customHeight="1">
      <c r="A31" s="21">
        <v>25</v>
      </c>
      <c r="B31" s="54" t="s">
        <v>174</v>
      </c>
      <c r="C31" s="54"/>
      <c r="D31" s="54"/>
      <c r="E31" s="54"/>
      <c r="F31" s="54"/>
      <c r="G31" s="54"/>
      <c r="H31" s="54"/>
      <c r="I31" s="55"/>
      <c r="J31" s="26" t="str">
        <f t="shared" si="21"/>
        <v>0,14; 0,14; 0,12; 0,14; 0,14; 0,15; 0,16; 0,18; 0,16; 0,11; 0,15; 0,11; 0,19; 0,12; 0,13</v>
      </c>
      <c r="K31" s="27">
        <f t="shared" si="8"/>
        <v>0.14266666666666666</v>
      </c>
      <c r="L31" s="27">
        <f t="shared" si="4"/>
        <v>7.192463427695002E-2</v>
      </c>
      <c r="M31" s="53"/>
      <c r="O31" s="6"/>
      <c r="P31" s="6">
        <v>60</v>
      </c>
      <c r="Q31" s="6"/>
      <c r="R31" s="6"/>
      <c r="S31" s="45" cm="1">
        <f t="array" ref="S31">SUM((Y31:AM31 - K31)^2)</f>
        <v>7.6933333333333324E-3</v>
      </c>
      <c r="T31" s="45">
        <f t="shared" si="24"/>
        <v>4.2425318679400927</v>
      </c>
      <c r="U31" s="6">
        <f t="shared" si="9"/>
        <v>24.847644762787162</v>
      </c>
      <c r="V31" s="6">
        <f t="shared" si="5"/>
        <v>25.207231639118</v>
      </c>
      <c r="W31" s="6">
        <f t="shared" si="6"/>
        <v>50.414463278235999</v>
      </c>
      <c r="X31" s="6">
        <f t="shared" si="7"/>
        <v>7.192463427695002E-2</v>
      </c>
      <c r="Y31" s="26">
        <v>0.14000000000000001</v>
      </c>
      <c r="Z31" s="6">
        <v>0.14000000000000001</v>
      </c>
      <c r="AA31" s="6">
        <v>0.12</v>
      </c>
      <c r="AB31" s="6">
        <v>0.14000000000000001</v>
      </c>
      <c r="AC31" s="6">
        <v>0.14000000000000001</v>
      </c>
      <c r="AD31" s="6">
        <v>0.15</v>
      </c>
      <c r="AE31" s="6">
        <v>0.16</v>
      </c>
      <c r="AF31" s="6">
        <v>0.18</v>
      </c>
      <c r="AG31" s="6">
        <v>0.16</v>
      </c>
      <c r="AH31" s="6">
        <v>0.11</v>
      </c>
      <c r="AI31" s="6">
        <v>0.15</v>
      </c>
      <c r="AJ31" s="6">
        <v>0.11</v>
      </c>
      <c r="AK31" s="6">
        <v>0.19</v>
      </c>
      <c r="AL31" s="6">
        <v>0.12</v>
      </c>
      <c r="AM31" s="6">
        <v>0.13</v>
      </c>
      <c r="AN31" s="6"/>
      <c r="AO31" s="6"/>
      <c r="AP31" s="6"/>
      <c r="AQ31" s="6"/>
      <c r="AR31" s="6">
        <f t="shared" si="10"/>
        <v>1852.2163507729931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</row>
    <row r="32" spans="1:244" s="3" customFormat="1" ht="29.25" customHeight="1">
      <c r="A32" s="21">
        <v>26</v>
      </c>
      <c r="B32" s="54" t="s">
        <v>175</v>
      </c>
      <c r="C32" s="54"/>
      <c r="D32" s="54"/>
      <c r="E32" s="54"/>
      <c r="F32" s="54"/>
      <c r="G32" s="54"/>
      <c r="H32" s="54"/>
      <c r="I32" s="55"/>
      <c r="J32" s="26" t="str">
        <f t="shared" si="21"/>
        <v>0,14; 0,14; 0,13; 0,11; 0,14; 0,12; 0,15; 0,15; 0,16; 0,12; 0,13; 0,15; 0,14; 0,13; 0,12</v>
      </c>
      <c r="K32" s="27">
        <f t="shared" ref="K32" si="30">AVERAGE(Y32:AP32)</f>
        <v>0.13533333333333333</v>
      </c>
      <c r="L32" s="27">
        <f t="shared" ref="L32" si="31">X32</f>
        <v>7.0006752508778747E-2</v>
      </c>
      <c r="M32" s="53"/>
      <c r="O32" s="6"/>
      <c r="P32" s="6">
        <v>60</v>
      </c>
      <c r="Q32" s="6"/>
      <c r="R32" s="6"/>
      <c r="S32" s="45" cm="1">
        <f t="array" ref="S32">SUM((Y32:AM32 - K32)^2)</f>
        <v>2.7733333333333338E-3</v>
      </c>
      <c r="T32" s="45">
        <f t="shared" si="24"/>
        <v>2.6852616507162441</v>
      </c>
      <c r="U32" s="6">
        <f t="shared" ref="U32" si="32">SQRT(AR32/3)</f>
        <v>25.724794013892442</v>
      </c>
      <c r="V32" s="6">
        <f t="shared" ref="V32" si="33">SQRT(T32^2+U32^2)</f>
        <v>25.864563734770471</v>
      </c>
      <c r="W32" s="6">
        <f t="shared" ref="W32" si="34">V32*2</f>
        <v>51.729127469540941</v>
      </c>
      <c r="X32" s="6">
        <f t="shared" ref="X32" si="35">W32*0.01*K32</f>
        <v>7.0006752508778747E-2</v>
      </c>
      <c r="Y32" s="26">
        <v>0.14000000000000001</v>
      </c>
      <c r="Z32" s="6">
        <v>0.14000000000000001</v>
      </c>
      <c r="AA32" s="6">
        <v>0.13</v>
      </c>
      <c r="AB32" s="6">
        <v>0.11</v>
      </c>
      <c r="AC32" s="6">
        <v>0.14000000000000001</v>
      </c>
      <c r="AD32" s="6">
        <v>0.12</v>
      </c>
      <c r="AE32" s="6">
        <v>0.15</v>
      </c>
      <c r="AF32" s="6">
        <v>0.15</v>
      </c>
      <c r="AG32" s="6">
        <v>0.16</v>
      </c>
      <c r="AH32" s="6">
        <v>0.12</v>
      </c>
      <c r="AI32" s="6">
        <v>0.13</v>
      </c>
      <c r="AJ32" s="6">
        <v>0.15</v>
      </c>
      <c r="AK32" s="6">
        <v>0.14000000000000001</v>
      </c>
      <c r="AL32" s="6">
        <v>0.13</v>
      </c>
      <c r="AM32" s="6">
        <v>0.12</v>
      </c>
      <c r="AN32" s="6"/>
      <c r="AO32" s="6"/>
      <c r="AP32" s="6"/>
      <c r="AQ32" s="6"/>
      <c r="AR32" s="6">
        <f t="shared" ref="AR32" si="36">(15+4/K32)^2</f>
        <v>1985.2950811715891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</row>
    <row r="33" spans="1:244" s="3" customFormat="1" ht="29.25" customHeight="1">
      <c r="A33" s="21">
        <v>27</v>
      </c>
      <c r="B33" s="54" t="s">
        <v>176</v>
      </c>
      <c r="C33" s="54"/>
      <c r="D33" s="54"/>
      <c r="E33" s="54"/>
      <c r="F33" s="54"/>
      <c r="G33" s="54"/>
      <c r="H33" s="54"/>
      <c r="I33" s="55"/>
      <c r="J33" s="26" t="str">
        <f t="shared" si="21"/>
        <v>0,14; 0,12; 0,14; 0,13; 0,16; 0,12; 0,15; 0,14; 0,14; 0,11; 0,15; 0,14; 0,15; 0,14; 0,12</v>
      </c>
      <c r="K33" s="27">
        <f t="shared" si="8"/>
        <v>0.13666666666666669</v>
      </c>
      <c r="L33" s="27">
        <f t="shared" si="4"/>
        <v>7.023102466429508E-2</v>
      </c>
      <c r="M33" s="53"/>
      <c r="O33" s="6"/>
      <c r="P33" s="6">
        <v>60</v>
      </c>
      <c r="Q33" s="6"/>
      <c r="R33" s="6"/>
      <c r="S33" s="45" cm="1">
        <f t="array" ref="S33">SUM((Y33:AM33 - K33)^2)</f>
        <v>2.7333333333333337E-3</v>
      </c>
      <c r="T33" s="45">
        <f t="shared" si="24"/>
        <v>2.6398183867422733</v>
      </c>
      <c r="U33" s="6">
        <f t="shared" si="9"/>
        <v>25.558310697052942</v>
      </c>
      <c r="V33" s="6">
        <f t="shared" si="5"/>
        <v>25.694277316205518</v>
      </c>
      <c r="W33" s="6">
        <f t="shared" si="6"/>
        <v>51.388554632411036</v>
      </c>
      <c r="X33" s="6">
        <f t="shared" si="7"/>
        <v>7.023102466429508E-2</v>
      </c>
      <c r="Y33" s="26">
        <v>0.14000000000000001</v>
      </c>
      <c r="Z33" s="6">
        <v>0.12</v>
      </c>
      <c r="AA33" s="6">
        <v>0.14000000000000001</v>
      </c>
      <c r="AB33" s="6">
        <v>0.13</v>
      </c>
      <c r="AC33" s="6">
        <v>0.16</v>
      </c>
      <c r="AD33" s="6">
        <v>0.12</v>
      </c>
      <c r="AE33" s="6">
        <v>0.15</v>
      </c>
      <c r="AF33" s="6">
        <v>0.14000000000000001</v>
      </c>
      <c r="AG33" s="6">
        <v>0.14000000000000001</v>
      </c>
      <c r="AH33" s="6">
        <v>0.11</v>
      </c>
      <c r="AI33" s="6">
        <v>0.15</v>
      </c>
      <c r="AJ33" s="6">
        <v>0.14000000000000001</v>
      </c>
      <c r="AK33" s="6">
        <v>0.15</v>
      </c>
      <c r="AL33" s="6">
        <v>0.14000000000000001</v>
      </c>
      <c r="AM33" s="6">
        <v>0.12</v>
      </c>
      <c r="AN33" s="6"/>
      <c r="AO33" s="6"/>
      <c r="AP33" s="6"/>
      <c r="AQ33" s="6"/>
      <c r="AR33" s="6">
        <f t="shared" si="10"/>
        <v>1959.6817370612728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</row>
    <row r="34" spans="1:244" s="3" customFormat="1" ht="29.25" customHeight="1">
      <c r="A34" s="21">
        <v>28</v>
      </c>
      <c r="B34" s="54" t="s">
        <v>177</v>
      </c>
      <c r="C34" s="54"/>
      <c r="D34" s="54"/>
      <c r="E34" s="54"/>
      <c r="F34" s="54"/>
      <c r="G34" s="54"/>
      <c r="H34" s="54"/>
      <c r="I34" s="55"/>
      <c r="J34" s="26" t="str">
        <f t="shared" si="21"/>
        <v>0,13; 0,11; 0,18; 0,14; 0,15; 0,12; 0,14; 0,12; 0,14; 0,16; 0,12; 0,11; 0,13; 0,16; 0,14</v>
      </c>
      <c r="K34" s="27">
        <f t="shared" ref="K34" si="37">AVERAGE(Y34:AP34)</f>
        <v>0.13666666666666666</v>
      </c>
      <c r="L34" s="27">
        <f t="shared" ref="L34" si="38">X34</f>
        <v>7.060970300695335E-2</v>
      </c>
      <c r="M34" s="53"/>
      <c r="O34" s="6"/>
      <c r="P34" s="6">
        <v>60</v>
      </c>
      <c r="Q34" s="6"/>
      <c r="R34" s="6"/>
      <c r="S34" s="45" cm="1">
        <f t="array" ref="S34">SUM((Y34:AM34 - K34)^2)</f>
        <v>5.5333333333333328E-3</v>
      </c>
      <c r="T34" s="45">
        <f t="shared" si="24"/>
        <v>3.7559618057733424</v>
      </c>
      <c r="U34" s="6">
        <f t="shared" ref="U34" si="39">SQRT(AR34/3)</f>
        <v>25.558310697052942</v>
      </c>
      <c r="V34" s="6">
        <f t="shared" ref="V34" si="40">SQRT(T34^2+U34^2)</f>
        <v>25.832818173275619</v>
      </c>
      <c r="W34" s="6">
        <f t="shared" ref="W34" si="41">V34*2</f>
        <v>51.665636346551238</v>
      </c>
      <c r="X34" s="6">
        <f t="shared" ref="X34" si="42">W34*0.01*K34</f>
        <v>7.060970300695335E-2</v>
      </c>
      <c r="Y34" s="26">
        <v>0.13</v>
      </c>
      <c r="Z34" s="6">
        <v>0.11</v>
      </c>
      <c r="AA34" s="6">
        <v>0.18</v>
      </c>
      <c r="AB34" s="6">
        <v>0.14000000000000001</v>
      </c>
      <c r="AC34" s="6">
        <v>0.15</v>
      </c>
      <c r="AD34" s="6">
        <v>0.12</v>
      </c>
      <c r="AE34" s="6">
        <v>0.14000000000000001</v>
      </c>
      <c r="AF34" s="6">
        <v>0.12</v>
      </c>
      <c r="AG34" s="6">
        <v>0.14000000000000001</v>
      </c>
      <c r="AH34" s="6">
        <v>0.16</v>
      </c>
      <c r="AI34" s="6">
        <v>0.12</v>
      </c>
      <c r="AJ34" s="6">
        <v>0.11</v>
      </c>
      <c r="AK34" s="6">
        <v>0.13</v>
      </c>
      <c r="AL34" s="6">
        <v>0.16</v>
      </c>
      <c r="AM34" s="6">
        <v>0.14000000000000001</v>
      </c>
      <c r="AN34" s="6"/>
      <c r="AO34" s="6"/>
      <c r="AP34" s="6"/>
      <c r="AQ34" s="6"/>
      <c r="AR34" s="6">
        <f t="shared" ref="AR34" si="43">(15+4/K34)^2</f>
        <v>1959.6817370612728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</row>
    <row r="35" spans="1:244" s="3" customFormat="1" ht="29.25" customHeight="1">
      <c r="A35" s="21">
        <v>29</v>
      </c>
      <c r="B35" s="54" t="s">
        <v>178</v>
      </c>
      <c r="C35" s="54"/>
      <c r="D35" s="54"/>
      <c r="E35" s="54"/>
      <c r="F35" s="54"/>
      <c r="G35" s="54"/>
      <c r="H35" s="54"/>
      <c r="I35" s="55">
        <v>46004</v>
      </c>
      <c r="J35" s="26" t="str">
        <f t="shared" si="21"/>
        <v>0,13; 0,12; 0,15; 0,13; 0,13; 0,13; 0,13; 0,15; 0,13; 0,14; 0,17; 0,11; 0,15; 0,13; 0,12</v>
      </c>
      <c r="K35" s="27">
        <f t="shared" si="8"/>
        <v>0.13466666666666668</v>
      </c>
      <c r="L35" s="27">
        <f t="shared" si="4"/>
        <v>6.9946392171274838E-2</v>
      </c>
      <c r="M35" s="53">
        <f>0.3</f>
        <v>0.3</v>
      </c>
      <c r="O35" s="6"/>
      <c r="P35" s="6">
        <v>60</v>
      </c>
      <c r="Q35" s="6"/>
      <c r="R35" s="6"/>
      <c r="S35" s="45" cm="1">
        <f t="array" ref="S35">SUM((Y35:AM35 - K35)^2)</f>
        <v>3.173333333333334E-3</v>
      </c>
      <c r="T35" s="45">
        <f t="shared" si="24"/>
        <v>2.886609848933317</v>
      </c>
      <c r="U35" s="6">
        <f t="shared" si="9"/>
        <v>25.809271934565938</v>
      </c>
      <c r="V35" s="6">
        <f t="shared" si="5"/>
        <v>25.970195113097088</v>
      </c>
      <c r="W35" s="6">
        <f t="shared" si="6"/>
        <v>51.940390226194175</v>
      </c>
      <c r="X35" s="6">
        <f t="shared" si="7"/>
        <v>6.9946392171274838E-2</v>
      </c>
      <c r="Y35" s="26">
        <v>0.13</v>
      </c>
      <c r="Z35" s="6">
        <v>0.12</v>
      </c>
      <c r="AA35" s="6">
        <v>0.15</v>
      </c>
      <c r="AB35" s="6">
        <v>0.13</v>
      </c>
      <c r="AC35" s="6">
        <v>0.13</v>
      </c>
      <c r="AD35" s="6">
        <v>0.13</v>
      </c>
      <c r="AE35" s="6">
        <v>0.13</v>
      </c>
      <c r="AF35" s="6">
        <v>0.15</v>
      </c>
      <c r="AG35" s="6">
        <v>0.13</v>
      </c>
      <c r="AH35" s="6">
        <v>0.14000000000000001</v>
      </c>
      <c r="AI35" s="6">
        <v>0.17</v>
      </c>
      <c r="AJ35" s="6">
        <v>0.11</v>
      </c>
      <c r="AK35" s="6">
        <v>0.15</v>
      </c>
      <c r="AL35" s="6">
        <v>0.13</v>
      </c>
      <c r="AM35" s="6">
        <v>0.12</v>
      </c>
      <c r="AN35" s="6"/>
      <c r="AO35" s="6"/>
      <c r="AP35" s="6"/>
      <c r="AQ35" s="6"/>
      <c r="AR35" s="6">
        <f t="shared" si="10"/>
        <v>1998.3555533771191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</row>
    <row r="36" spans="1:244" s="3" customFormat="1" ht="29.25" customHeight="1">
      <c r="A36" s="21">
        <v>30</v>
      </c>
      <c r="B36" s="54" t="s">
        <v>179</v>
      </c>
      <c r="C36" s="54"/>
      <c r="D36" s="54"/>
      <c r="E36" s="54"/>
      <c r="F36" s="54"/>
      <c r="G36" s="54"/>
      <c r="H36" s="54"/>
      <c r="I36" s="55"/>
      <c r="J36" s="26" t="str">
        <f t="shared" si="21"/>
        <v>0,14; 0,15; 0,12; 0,12; 0,11; 0,13; 0,11; 0,14; 0,14; 0,15; 0,13; 0,12; 0,12; 0,13; 0,13</v>
      </c>
      <c r="K36" s="27">
        <f t="shared" ref="K36" si="44">AVERAGE(Y36:AP36)</f>
        <v>0.12933333333333333</v>
      </c>
      <c r="L36" s="27">
        <f t="shared" ref="L36" si="45">X36</f>
        <v>6.8906912132837145E-2</v>
      </c>
      <c r="M36" s="53"/>
      <c r="O36" s="6"/>
      <c r="P36" s="6">
        <v>60</v>
      </c>
      <c r="Q36" s="6"/>
      <c r="R36" s="6"/>
      <c r="S36" s="45" cm="1">
        <f t="array" ref="S36">SUM((Y36:AM36 - K36)^2)</f>
        <v>2.2933333333333339E-3</v>
      </c>
      <c r="T36" s="45">
        <f t="shared" si="24"/>
        <v>2.5551327795136194</v>
      </c>
      <c r="U36" s="6">
        <f t="shared" ref="U36" si="46">SQRT(AR36/3)</f>
        <v>26.516447930307042</v>
      </c>
      <c r="V36" s="6">
        <f t="shared" ref="V36" si="47">SQRT(T36^2+U36^2)</f>
        <v>26.639270154447352</v>
      </c>
      <c r="W36" s="6">
        <f t="shared" ref="W36" si="48">V36*2</f>
        <v>53.278540308894705</v>
      </c>
      <c r="X36" s="6">
        <f t="shared" ref="X36" si="49">W36*0.01*K36</f>
        <v>6.8906912132837145E-2</v>
      </c>
      <c r="Y36" s="26">
        <v>0.14000000000000001</v>
      </c>
      <c r="Z36" s="6">
        <v>0.15</v>
      </c>
      <c r="AA36" s="6">
        <v>0.12</v>
      </c>
      <c r="AB36" s="6">
        <v>0.12</v>
      </c>
      <c r="AC36" s="6">
        <v>0.11</v>
      </c>
      <c r="AD36" s="6">
        <v>0.13</v>
      </c>
      <c r="AE36" s="6">
        <v>0.11</v>
      </c>
      <c r="AF36" s="6">
        <v>0.14000000000000001</v>
      </c>
      <c r="AG36" s="6">
        <v>0.14000000000000001</v>
      </c>
      <c r="AH36" s="6">
        <v>0.15</v>
      </c>
      <c r="AI36" s="6">
        <v>0.13</v>
      </c>
      <c r="AJ36" s="6">
        <v>0.12</v>
      </c>
      <c r="AK36" s="6">
        <v>0.12</v>
      </c>
      <c r="AL36" s="6">
        <v>0.13</v>
      </c>
      <c r="AM36" s="6">
        <v>0.13</v>
      </c>
      <c r="AN36" s="6"/>
      <c r="AO36" s="6"/>
      <c r="AP36" s="6"/>
      <c r="AQ36" s="6"/>
      <c r="AR36" s="6">
        <f t="shared" ref="AR36" si="50">(15+4/K36)^2</f>
        <v>2109.3660325220535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</row>
    <row r="37" spans="1:244" s="3" customFormat="1" ht="29.25" customHeight="1">
      <c r="A37" s="21">
        <v>31</v>
      </c>
      <c r="B37" s="54" t="s">
        <v>180</v>
      </c>
      <c r="C37" s="54"/>
      <c r="D37" s="54"/>
      <c r="E37" s="54"/>
      <c r="F37" s="54"/>
      <c r="G37" s="54"/>
      <c r="H37" s="54"/>
      <c r="I37" s="55"/>
      <c r="J37" s="26" t="str">
        <f t="shared" si="21"/>
        <v>0,14; 0,15; 0,17; 0,16; 0,16; 0,14; 0,14; 0,13; 0,12; 0,13; 0,13; 0,13; 0,14; 0,14; 0,12</v>
      </c>
      <c r="K37" s="27">
        <f t="shared" si="8"/>
        <v>0.14000000000000001</v>
      </c>
      <c r="L37" s="27">
        <f t="shared" si="4"/>
        <v>7.0841204044512052E-2</v>
      </c>
      <c r="M37" s="53"/>
      <c r="O37" s="6"/>
      <c r="P37" s="6">
        <v>60</v>
      </c>
      <c r="Q37" s="6"/>
      <c r="R37" s="6"/>
      <c r="S37" s="45" cm="1">
        <f t="array" ref="S37">SUM((Y37:AM37 - K37)^2)</f>
        <v>3.0000000000000009E-3</v>
      </c>
      <c r="T37" s="45">
        <f t="shared" si="24"/>
        <v>2.6997462357801947</v>
      </c>
      <c r="U37" s="6">
        <f t="shared" si="9"/>
        <v>25.155976014690836</v>
      </c>
      <c r="V37" s="6">
        <f t="shared" si="5"/>
        <v>25.30043001589716</v>
      </c>
      <c r="W37" s="6">
        <f t="shared" si="6"/>
        <v>50.600860031794319</v>
      </c>
      <c r="X37" s="6">
        <f t="shared" si="7"/>
        <v>7.0841204044512052E-2</v>
      </c>
      <c r="Y37" s="26">
        <v>0.14000000000000001</v>
      </c>
      <c r="Z37" s="6">
        <v>0.15</v>
      </c>
      <c r="AA37" s="6">
        <v>0.17</v>
      </c>
      <c r="AB37" s="6">
        <v>0.16</v>
      </c>
      <c r="AC37" s="6">
        <v>0.16</v>
      </c>
      <c r="AD37" s="6">
        <v>0.14000000000000001</v>
      </c>
      <c r="AE37" s="6">
        <v>0.14000000000000001</v>
      </c>
      <c r="AF37" s="6">
        <v>0.13</v>
      </c>
      <c r="AG37" s="6">
        <v>0.12</v>
      </c>
      <c r="AH37" s="6">
        <v>0.13</v>
      </c>
      <c r="AI37" s="6">
        <v>0.13</v>
      </c>
      <c r="AJ37" s="6">
        <v>0.13</v>
      </c>
      <c r="AK37" s="6">
        <v>0.14000000000000001</v>
      </c>
      <c r="AL37" s="6">
        <v>0.14000000000000001</v>
      </c>
      <c r="AM37" s="6">
        <v>0.12</v>
      </c>
      <c r="AN37" s="6"/>
      <c r="AO37" s="6"/>
      <c r="AP37" s="6"/>
      <c r="AQ37" s="6"/>
      <c r="AR37" s="6">
        <f t="shared" si="10"/>
        <v>1898.4693877551019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</row>
    <row r="38" spans="1:244" s="3" customFormat="1" ht="29.25" customHeight="1">
      <c r="A38" s="21">
        <v>32</v>
      </c>
      <c r="B38" s="54" t="s">
        <v>181</v>
      </c>
      <c r="C38" s="54"/>
      <c r="D38" s="54"/>
      <c r="E38" s="54"/>
      <c r="F38" s="54"/>
      <c r="G38" s="54"/>
      <c r="H38" s="54"/>
      <c r="I38" s="55"/>
      <c r="J38" s="26" t="str">
        <f t="shared" si="21"/>
        <v>0,13; 0,12; 0,12; 0,13; 0,14; 0,12; 0,12; 0,15; 0,16; 0,11; 0,13; 0,12; 0,13; 0,17; 0,16</v>
      </c>
      <c r="K38" s="27">
        <f>AVERAGE(Y38:AP38)</f>
        <v>0.13400000000000001</v>
      </c>
      <c r="L38" s="27">
        <f>X38</f>
        <v>7.0020500399457841E-2</v>
      </c>
      <c r="M38" s="53"/>
      <c r="O38" s="6"/>
      <c r="P38" s="6">
        <v>60</v>
      </c>
      <c r="Q38" s="6"/>
      <c r="R38" s="6"/>
      <c r="S38" s="45" cm="1">
        <f t="array" ref="S38">SUM((Y38:AM38 - K38)^2)</f>
        <v>4.5600000000000016E-3</v>
      </c>
      <c r="T38" s="45">
        <f t="shared" si="24"/>
        <v>3.4775067015565231</v>
      </c>
      <c r="U38" s="6">
        <f t="shared" ref="U38" si="51">SQRT(AR38/3)</f>
        <v>25.894590431564556</v>
      </c>
      <c r="V38" s="6">
        <f t="shared" ref="V38" si="52">SQRT(T38^2+U38^2)</f>
        <v>26.127052387857404</v>
      </c>
      <c r="W38" s="6">
        <f t="shared" ref="W38" si="53">V38*2</f>
        <v>52.254104775714808</v>
      </c>
      <c r="X38" s="6">
        <f t="shared" ref="X38" si="54">W38*0.01*K38</f>
        <v>7.0020500399457841E-2</v>
      </c>
      <c r="Y38" s="26">
        <v>0.13</v>
      </c>
      <c r="Z38" s="6">
        <v>0.12</v>
      </c>
      <c r="AA38" s="6">
        <v>0.12</v>
      </c>
      <c r="AB38" s="6">
        <v>0.13</v>
      </c>
      <c r="AC38" s="6">
        <v>0.14000000000000001</v>
      </c>
      <c r="AD38" s="6">
        <v>0.12</v>
      </c>
      <c r="AE38" s="6">
        <v>0.12</v>
      </c>
      <c r="AF38" s="6">
        <v>0.15</v>
      </c>
      <c r="AG38" s="6">
        <v>0.16</v>
      </c>
      <c r="AH38" s="6">
        <v>0.11</v>
      </c>
      <c r="AI38" s="6">
        <v>0.13</v>
      </c>
      <c r="AJ38" s="6">
        <v>0.12</v>
      </c>
      <c r="AK38" s="6">
        <v>0.13</v>
      </c>
      <c r="AL38" s="6">
        <v>0.17</v>
      </c>
      <c r="AM38" s="6">
        <v>0.16</v>
      </c>
      <c r="AN38" s="6"/>
      <c r="AO38" s="6"/>
      <c r="AP38" s="6"/>
      <c r="AQ38" s="6"/>
      <c r="AR38" s="6">
        <f t="shared" ref="AR38" si="55">(15+4/K38)^2</f>
        <v>2011.5894408554241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</row>
    <row r="39" spans="1:244" s="3" customFormat="1" ht="15" customHeight="1">
      <c r="A39" s="21">
        <v>33</v>
      </c>
      <c r="B39" s="54" t="s">
        <v>70</v>
      </c>
      <c r="C39" s="54"/>
      <c r="D39" s="54"/>
      <c r="E39" s="54"/>
      <c r="F39" s="54"/>
      <c r="G39" s="54"/>
      <c r="H39" s="54"/>
      <c r="I39" s="63">
        <v>46004</v>
      </c>
      <c r="J39" s="27">
        <v>0.15188402730255651</v>
      </c>
      <c r="K39" s="66" t="s">
        <v>111</v>
      </c>
      <c r="L39" s="27">
        <f>SQRT(((AS39/J39)^2)/3)*2*J39</f>
        <v>7.2495106749790705E-2</v>
      </c>
      <c r="M39" s="53">
        <f>0.3</f>
        <v>0.3</v>
      </c>
      <c r="O39" s="6"/>
      <c r="P39" s="6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f>(15+4/J39)</f>
        <v>41.33588318034198</v>
      </c>
      <c r="AS39" s="6">
        <f>J39*AR39/100</f>
        <v>6.2782604095383471E-2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</row>
    <row r="40" spans="1:244" s="3" customFormat="1">
      <c r="A40" s="21">
        <v>34</v>
      </c>
      <c r="B40" s="54" t="s">
        <v>71</v>
      </c>
      <c r="C40" s="54"/>
      <c r="D40" s="54"/>
      <c r="E40" s="54"/>
      <c r="F40" s="54"/>
      <c r="G40" s="54"/>
      <c r="H40" s="54"/>
      <c r="I40" s="64"/>
      <c r="J40" s="27">
        <v>0.13123622814847288</v>
      </c>
      <c r="K40" s="66"/>
      <c r="L40" s="27">
        <f>SQRT(((AS40/J40)^2)/3)*2*J40</f>
        <v>6.8918803029855646E-2</v>
      </c>
      <c r="M40" s="53"/>
      <c r="O40" s="6"/>
      <c r="P40" s="6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f t="shared" ref="AR40:AR93" si="56">(15+4/J40)</f>
        <v>45.479388629446419</v>
      </c>
      <c r="AS40" s="6">
        <f t="shared" ref="AS40:AS93" si="57">J40*AR40/100</f>
        <v>5.9685434222270933E-2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</row>
    <row r="41" spans="1:244" s="3" customFormat="1" ht="15" customHeight="1">
      <c r="A41" s="21">
        <v>35</v>
      </c>
      <c r="B41" s="54" t="s">
        <v>72</v>
      </c>
      <c r="C41" s="54"/>
      <c r="D41" s="54"/>
      <c r="E41" s="54"/>
      <c r="F41" s="54"/>
      <c r="G41" s="54"/>
      <c r="H41" s="54"/>
      <c r="I41" s="64"/>
      <c r="J41" s="27">
        <v>0.14516747215696851</v>
      </c>
      <c r="K41" s="66"/>
      <c r="L41" s="27">
        <f t="shared" ref="L41:L92" si="58">SQRT(((AS41/J41)^2)/3)*2*J41</f>
        <v>7.1331765273391037E-2</v>
      </c>
      <c r="M41" s="53"/>
      <c r="O41" s="6"/>
      <c r="P41" s="6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f t="shared" si="56"/>
        <v>42.554382125458723</v>
      </c>
      <c r="AS41" s="6">
        <f t="shared" si="57"/>
        <v>6.1775120823545276E-2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</row>
    <row r="42" spans="1:244" s="3" customFormat="1" ht="15" customHeight="1">
      <c r="A42" s="21">
        <v>36</v>
      </c>
      <c r="B42" s="54" t="s">
        <v>73</v>
      </c>
      <c r="C42" s="54"/>
      <c r="D42" s="54"/>
      <c r="E42" s="54"/>
      <c r="F42" s="54"/>
      <c r="G42" s="54"/>
      <c r="H42" s="54"/>
      <c r="I42" s="64"/>
      <c r="J42" s="27">
        <v>0.13194526457141453</v>
      </c>
      <c r="K42" s="66"/>
      <c r="L42" s="27">
        <f>SQRT(((AS42/J42)^2)/3)*2*J42</f>
        <v>6.9041611740750838E-2</v>
      </c>
      <c r="M42" s="53"/>
      <c r="O42" s="6"/>
      <c r="P42" s="6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f t="shared" si="56"/>
        <v>45.315601041028842</v>
      </c>
      <c r="AS42" s="6">
        <f t="shared" si="57"/>
        <v>5.9791789685712179E-2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</row>
    <row r="43" spans="1:244" s="3" customFormat="1" ht="15" customHeight="1">
      <c r="A43" s="21">
        <v>37</v>
      </c>
      <c r="B43" s="54" t="s">
        <v>74</v>
      </c>
      <c r="C43" s="54"/>
      <c r="D43" s="54"/>
      <c r="E43" s="54"/>
      <c r="F43" s="54"/>
      <c r="G43" s="54"/>
      <c r="H43" s="54"/>
      <c r="I43" s="64"/>
      <c r="J43" s="27">
        <v>0.13349021953300144</v>
      </c>
      <c r="K43" s="66"/>
      <c r="L43" s="27">
        <f t="shared" ref="L43:L44" si="59">SQRT(((AS43/J43)^2)/3)*2*J43</f>
        <v>6.9309205789638242E-2</v>
      </c>
      <c r="M43" s="53"/>
      <c r="O43" s="6"/>
      <c r="P43" s="6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f t="shared" si="56"/>
        <v>44.964742091169612</v>
      </c>
      <c r="AS43" s="6">
        <f t="shared" si="57"/>
        <v>6.0023532929950212E-2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</row>
    <row r="44" spans="1:244" s="3" customFormat="1" ht="15" customHeight="1">
      <c r="A44" s="21">
        <v>38</v>
      </c>
      <c r="B44" s="54" t="s">
        <v>131</v>
      </c>
      <c r="C44" s="54"/>
      <c r="D44" s="54"/>
      <c r="E44" s="54"/>
      <c r="F44" s="54"/>
      <c r="G44" s="54"/>
      <c r="H44" s="54"/>
      <c r="I44" s="64"/>
      <c r="J44" s="27">
        <v>0.11481678667019342</v>
      </c>
      <c r="K44" s="66"/>
      <c r="L44" s="27">
        <f t="shared" si="59"/>
        <v>6.6074872342627267E-2</v>
      </c>
      <c r="M44" s="53"/>
      <c r="O44" s="6"/>
      <c r="P44" s="6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f t="shared" si="56"/>
        <v>49.838111359881886</v>
      </c>
      <c r="AS44" s="6">
        <f t="shared" si="57"/>
        <v>5.7222518000529021E-2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</row>
    <row r="45" spans="1:244" s="3" customFormat="1" ht="15" customHeight="1">
      <c r="A45" s="21">
        <v>39</v>
      </c>
      <c r="B45" s="54" t="s">
        <v>132</v>
      </c>
      <c r="C45" s="54"/>
      <c r="D45" s="54"/>
      <c r="E45" s="54"/>
      <c r="F45" s="54"/>
      <c r="G45" s="54"/>
      <c r="H45" s="54"/>
      <c r="I45" s="64"/>
      <c r="J45" s="27">
        <v>0.14139469848551556</v>
      </c>
      <c r="K45" s="66"/>
      <c r="L45" s="27">
        <f>SQRT(((AS45/J45)^2)/3)*2*J45</f>
        <v>7.0678301704949584E-2</v>
      </c>
      <c r="M45" s="53"/>
      <c r="O45" s="6"/>
      <c r="P45" s="6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f t="shared" si="56"/>
        <v>43.289603803000858</v>
      </c>
      <c r="AS45" s="6">
        <f t="shared" si="57"/>
        <v>6.120920477282734E-2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</row>
    <row r="46" spans="1:244" s="3" customFormat="1" ht="15" customHeight="1">
      <c r="A46" s="21">
        <v>40</v>
      </c>
      <c r="B46" s="54" t="s">
        <v>133</v>
      </c>
      <c r="C46" s="54"/>
      <c r="D46" s="54"/>
      <c r="E46" s="54"/>
      <c r="F46" s="54"/>
      <c r="G46" s="54"/>
      <c r="H46" s="54"/>
      <c r="I46" s="64"/>
      <c r="J46" s="27">
        <v>0.12499563429100582</v>
      </c>
      <c r="K46" s="66"/>
      <c r="L46" s="27">
        <f t="shared" ref="L46:L47" si="60">SQRT(((AS46/J46)^2)/3)*2*J46</f>
        <v>6.7837900466802117E-2</v>
      </c>
      <c r="M46" s="53"/>
      <c r="O46" s="6"/>
      <c r="P46" s="6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f t="shared" si="56"/>
        <v>47.001117660537552</v>
      </c>
      <c r="AS46" s="6">
        <f t="shared" si="57"/>
        <v>5.874934514365087E-2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</row>
    <row r="47" spans="1:244" s="3" customFormat="1" ht="15" customHeight="1">
      <c r="A47" s="21">
        <v>41</v>
      </c>
      <c r="B47" s="54" t="s">
        <v>134</v>
      </c>
      <c r="C47" s="54"/>
      <c r="D47" s="54"/>
      <c r="E47" s="54"/>
      <c r="F47" s="54"/>
      <c r="G47" s="54"/>
      <c r="H47" s="54"/>
      <c r="I47" s="64"/>
      <c r="J47" s="27">
        <v>0.10769518117951991</v>
      </c>
      <c r="K47" s="66"/>
      <c r="L47" s="27">
        <f t="shared" si="60"/>
        <v>6.4841374088496467E-2</v>
      </c>
      <c r="M47" s="53"/>
      <c r="O47" s="6"/>
      <c r="P47" s="6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f t="shared" si="56"/>
        <v>52.141866109425038</v>
      </c>
      <c r="AS47" s="6">
        <f t="shared" si="57"/>
        <v>5.6154277176927989E-2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</row>
    <row r="48" spans="1:244" s="3" customFormat="1" ht="15" customHeight="1">
      <c r="A48" s="21">
        <v>42</v>
      </c>
      <c r="B48" s="54" t="s">
        <v>135</v>
      </c>
      <c r="C48" s="54"/>
      <c r="D48" s="54"/>
      <c r="E48" s="54"/>
      <c r="F48" s="54"/>
      <c r="G48" s="54"/>
      <c r="H48" s="54"/>
      <c r="I48" s="64"/>
      <c r="J48" s="27">
        <v>0.12062515074780401</v>
      </c>
      <c r="K48" s="66"/>
      <c r="L48" s="27">
        <f>SQRT(((AS48/J48)^2)/3)*2*J48</f>
        <v>6.7080910511755201E-2</v>
      </c>
      <c r="M48" s="53"/>
      <c r="O48" s="6"/>
      <c r="P48" s="6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f t="shared" ref="AR48:AR53" si="61">(15+4/J48)</f>
        <v>48.160580320127146</v>
      </c>
      <c r="AS48" s="6">
        <f t="shared" ref="AS48:AS53" si="62">J48*AR48/100</f>
        <v>5.8093772612170601E-2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</row>
    <row r="49" spans="1:244" s="3" customFormat="1" ht="15" customHeight="1">
      <c r="A49" s="21">
        <v>43</v>
      </c>
      <c r="B49" s="54" t="s">
        <v>136</v>
      </c>
      <c r="C49" s="54"/>
      <c r="D49" s="54"/>
      <c r="E49" s="54"/>
      <c r="F49" s="54"/>
      <c r="G49" s="54"/>
      <c r="H49" s="54"/>
      <c r="I49" s="64"/>
      <c r="J49" s="27">
        <v>0.13296935283899075</v>
      </c>
      <c r="K49" s="66"/>
      <c r="L49" s="27">
        <f t="shared" ref="L49:L50" si="63">SQRT(((AS49/J49)^2)/3)*2*J49</f>
        <v>6.921898903183854E-2</v>
      </c>
      <c r="M49" s="53"/>
      <c r="O49" s="6"/>
      <c r="P49" s="6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f t="shared" si="61"/>
        <v>45.082119786229981</v>
      </c>
      <c r="AS49" s="6">
        <f t="shared" si="62"/>
        <v>5.9945402925848608E-2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</row>
    <row r="50" spans="1:244" s="3" customFormat="1" ht="15" customHeight="1">
      <c r="A50" s="21">
        <v>44</v>
      </c>
      <c r="B50" s="54" t="s">
        <v>152</v>
      </c>
      <c r="C50" s="54"/>
      <c r="D50" s="54"/>
      <c r="E50" s="54"/>
      <c r="F50" s="54"/>
      <c r="G50" s="54"/>
      <c r="H50" s="54"/>
      <c r="I50" s="64"/>
      <c r="J50" s="27">
        <v>0.13736460517834856</v>
      </c>
      <c r="K50" s="66"/>
      <c r="L50" s="27">
        <f t="shared" si="63"/>
        <v>6.998026906822391E-2</v>
      </c>
      <c r="M50" s="53"/>
      <c r="O50" s="6"/>
      <c r="P50" s="6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f t="shared" si="61"/>
        <v>44.119582841639328</v>
      </c>
      <c r="AS50" s="6">
        <f t="shared" si="62"/>
        <v>6.0604690776752276E-2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</row>
    <row r="51" spans="1:244" s="3" customFormat="1" ht="15" customHeight="1">
      <c r="A51" s="21">
        <v>45</v>
      </c>
      <c r="B51" s="54" t="s">
        <v>187</v>
      </c>
      <c r="C51" s="54"/>
      <c r="D51" s="54"/>
      <c r="E51" s="54"/>
      <c r="F51" s="54"/>
      <c r="G51" s="54"/>
      <c r="H51" s="54"/>
      <c r="I51" s="64"/>
      <c r="J51" s="27">
        <v>0.10987937916209023</v>
      </c>
      <c r="K51" s="66"/>
      <c r="L51" s="27">
        <f>SQRT(((AS51/J51)^2)/3)*2*J51</f>
        <v>6.5219688276456592E-2</v>
      </c>
      <c r="M51" s="53"/>
      <c r="O51" s="6"/>
      <c r="P51" s="6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f t="shared" si="61"/>
        <v>51.403554793473482</v>
      </c>
      <c r="AS51" s="6">
        <f t="shared" si="62"/>
        <v>5.648190687431353E-2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</row>
    <row r="52" spans="1:244" s="3" customFormat="1" ht="15" customHeight="1">
      <c r="A52" s="21">
        <v>46</v>
      </c>
      <c r="B52" s="54" t="s">
        <v>188</v>
      </c>
      <c r="C52" s="54"/>
      <c r="D52" s="54"/>
      <c r="E52" s="54"/>
      <c r="F52" s="54"/>
      <c r="G52" s="54"/>
      <c r="H52" s="54"/>
      <c r="I52" s="64"/>
      <c r="J52" s="27">
        <v>0.12495694737717349</v>
      </c>
      <c r="K52" s="66"/>
      <c r="L52" s="27">
        <f t="shared" ref="L52:L53" si="64">SQRT(((AS52/J52)^2)/3)*2*J52</f>
        <v>6.7831199696767569E-2</v>
      </c>
      <c r="M52" s="53"/>
      <c r="O52" s="6"/>
      <c r="P52" s="6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f t="shared" si="61"/>
        <v>47.011025268777495</v>
      </c>
      <c r="AS52" s="6">
        <f t="shared" si="62"/>
        <v>5.8743542106576029E-2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</row>
    <row r="53" spans="1:244" s="3" customFormat="1" ht="15" customHeight="1">
      <c r="A53" s="21">
        <v>47</v>
      </c>
      <c r="B53" s="54" t="s">
        <v>189</v>
      </c>
      <c r="C53" s="54"/>
      <c r="D53" s="54"/>
      <c r="E53" s="54"/>
      <c r="F53" s="54"/>
      <c r="G53" s="54"/>
      <c r="H53" s="54"/>
      <c r="I53" s="64"/>
      <c r="J53" s="27">
        <v>0.14851818247067733</v>
      </c>
      <c r="K53" s="66"/>
      <c r="L53" s="27">
        <f t="shared" si="64"/>
        <v>7.1912125323869924E-2</v>
      </c>
      <c r="M53" s="53"/>
      <c r="O53" s="6"/>
      <c r="P53" s="6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f t="shared" si="61"/>
        <v>41.93272926895493</v>
      </c>
      <c r="AS53" s="6">
        <f t="shared" si="62"/>
        <v>6.2277727370601603E-2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</row>
    <row r="54" spans="1:244" s="3" customFormat="1" ht="15" customHeight="1">
      <c r="A54" s="21">
        <v>48</v>
      </c>
      <c r="B54" s="54" t="s">
        <v>190</v>
      </c>
      <c r="C54" s="54"/>
      <c r="D54" s="54"/>
      <c r="E54" s="54"/>
      <c r="F54" s="54"/>
      <c r="G54" s="54"/>
      <c r="H54" s="54"/>
      <c r="I54" s="64"/>
      <c r="J54" s="27">
        <v>0.12070521788475755</v>
      </c>
      <c r="K54" s="66"/>
      <c r="L54" s="27">
        <f>SQRT(((AS54/J54)^2)/3)*2*J54</f>
        <v>6.7094778546677225E-2</v>
      </c>
      <c r="M54" s="53"/>
      <c r="O54" s="6"/>
      <c r="P54" s="6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f t="shared" si="56"/>
        <v>48.138583982500009</v>
      </c>
      <c r="AS54" s="6">
        <f t="shared" si="57"/>
        <v>5.810578268271363E-2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</row>
    <row r="55" spans="1:244" s="3" customFormat="1" ht="15" customHeight="1">
      <c r="A55" s="21">
        <v>49</v>
      </c>
      <c r="B55" s="54" t="s">
        <v>191</v>
      </c>
      <c r="C55" s="54"/>
      <c r="D55" s="54"/>
      <c r="E55" s="54"/>
      <c r="F55" s="54"/>
      <c r="G55" s="54"/>
      <c r="H55" s="54"/>
      <c r="I55" s="64"/>
      <c r="J55" s="27">
        <v>0.11774137915458356</v>
      </c>
      <c r="K55" s="66"/>
      <c r="L55" s="27">
        <f t="shared" ref="L55:L56" si="65">SQRT(((AS55/J55)^2)/3)*2*J55</f>
        <v>6.6581426620067052E-2</v>
      </c>
      <c r="M55" s="53"/>
      <c r="O55" s="6"/>
      <c r="P55" s="6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f t="shared" si="56"/>
        <v>48.972763260640676</v>
      </c>
      <c r="AS55" s="6">
        <f t="shared" si="57"/>
        <v>5.7661206873187536E-2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</row>
    <row r="56" spans="1:244" s="3" customFormat="1" ht="15" customHeight="1">
      <c r="A56" s="21">
        <v>50</v>
      </c>
      <c r="B56" s="54" t="s">
        <v>192</v>
      </c>
      <c r="C56" s="54"/>
      <c r="D56" s="54"/>
      <c r="E56" s="54"/>
      <c r="F56" s="54"/>
      <c r="G56" s="54"/>
      <c r="H56" s="54"/>
      <c r="I56" s="64"/>
      <c r="J56" s="27">
        <v>0.14683857376498996</v>
      </c>
      <c r="K56" s="66"/>
      <c r="L56" s="27">
        <f t="shared" si="65"/>
        <v>7.1621208562361371E-2</v>
      </c>
      <c r="M56" s="53"/>
      <c r="O56" s="6"/>
      <c r="P56" s="6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f t="shared" si="56"/>
        <v>42.240798500275964</v>
      </c>
      <c r="AS56" s="6">
        <f t="shared" si="57"/>
        <v>6.2025786064748498E-2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</row>
    <row r="57" spans="1:244" s="3" customFormat="1" ht="15" customHeight="1">
      <c r="A57" s="21">
        <v>51</v>
      </c>
      <c r="B57" s="54" t="s">
        <v>193</v>
      </c>
      <c r="C57" s="54"/>
      <c r="D57" s="54"/>
      <c r="E57" s="54"/>
      <c r="F57" s="54"/>
      <c r="G57" s="54"/>
      <c r="H57" s="54"/>
      <c r="I57" s="64"/>
      <c r="J57" s="27">
        <v>0.13255409827846545</v>
      </c>
      <c r="K57" s="66"/>
      <c r="L57" s="27">
        <f>SQRT(((AS57/J57)^2)/3)*2*J57</f>
        <v>6.9147064832148095E-2</v>
      </c>
      <c r="M57" s="53"/>
      <c r="O57" s="6"/>
      <c r="P57" s="6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f t="shared" si="56"/>
        <v>45.176358573213832</v>
      </c>
      <c r="AS57" s="6">
        <f t="shared" si="57"/>
        <v>5.9883114741769813E-2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</row>
    <row r="58" spans="1:244" s="3" customFormat="1" ht="15" customHeight="1">
      <c r="A58" s="21">
        <v>52</v>
      </c>
      <c r="B58" s="54" t="s">
        <v>194</v>
      </c>
      <c r="C58" s="54"/>
      <c r="D58" s="54"/>
      <c r="E58" s="54"/>
      <c r="F58" s="54"/>
      <c r="G58" s="54"/>
      <c r="H58" s="54"/>
      <c r="I58" s="64"/>
      <c r="J58" s="27">
        <v>0.13115923076485642</v>
      </c>
      <c r="K58" s="66"/>
      <c r="L58" s="27">
        <f t="shared" ref="L58:L59" si="66">SQRT(((AS58/J58)^2)/3)*2*J58</f>
        <v>6.890546669180829E-2</v>
      </c>
      <c r="M58" s="53"/>
      <c r="O58" s="6"/>
      <c r="P58" s="6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f t="shared" si="56"/>
        <v>45.497281637548184</v>
      </c>
      <c r="AS58" s="6">
        <f t="shared" si="57"/>
        <v>5.9673884614728466E-2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</row>
    <row r="59" spans="1:244" s="3" customFormat="1" ht="15" customHeight="1">
      <c r="A59" s="21">
        <v>53</v>
      </c>
      <c r="B59" s="54" t="s">
        <v>195</v>
      </c>
      <c r="C59" s="54"/>
      <c r="D59" s="54"/>
      <c r="E59" s="54"/>
      <c r="F59" s="54"/>
      <c r="G59" s="54"/>
      <c r="H59" s="54"/>
      <c r="I59" s="64"/>
      <c r="J59" s="27">
        <v>0.13317354196458683</v>
      </c>
      <c r="K59" s="66"/>
      <c r="L59" s="27">
        <f t="shared" si="66"/>
        <v>6.9254355625827088E-2</v>
      </c>
      <c r="M59" s="53"/>
      <c r="O59" s="6"/>
      <c r="P59" s="6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f t="shared" si="56"/>
        <v>45.035996197079967</v>
      </c>
      <c r="AS59" s="6">
        <f t="shared" si="57"/>
        <v>5.9976031294688016E-2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</row>
    <row r="60" spans="1:244" s="3" customFormat="1" ht="15" customHeight="1">
      <c r="A60" s="21">
        <v>54</v>
      </c>
      <c r="B60" s="54" t="s">
        <v>196</v>
      </c>
      <c r="C60" s="54"/>
      <c r="D60" s="54"/>
      <c r="E60" s="54"/>
      <c r="F60" s="54"/>
      <c r="G60" s="54"/>
      <c r="H60" s="54"/>
      <c r="I60" s="64"/>
      <c r="J60" s="27">
        <v>0.13942784806950767</v>
      </c>
      <c r="K60" s="66"/>
      <c r="L60" s="27">
        <f>SQRT(((AS60/J60)^2)/3)*2*J60</f>
        <v>7.0337633219808196E-2</v>
      </c>
      <c r="M60" s="53"/>
      <c r="O60" s="6"/>
      <c r="P60" s="6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f t="shared" ref="AR60:AR65" si="67">(15+4/J60)</f>
        <v>43.688673427749649</v>
      </c>
      <c r="AS60" s="6">
        <f t="shared" ref="AS60:AS65" si="68">J60*AR60/100</f>
        <v>6.0914177210426149E-2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</row>
    <row r="61" spans="1:244" s="3" customFormat="1" ht="15" customHeight="1">
      <c r="A61" s="21">
        <v>55</v>
      </c>
      <c r="B61" s="54" t="s">
        <v>197</v>
      </c>
      <c r="C61" s="54"/>
      <c r="D61" s="54"/>
      <c r="E61" s="54"/>
      <c r="F61" s="54"/>
      <c r="G61" s="54"/>
      <c r="H61" s="54"/>
      <c r="I61" s="64"/>
      <c r="J61" s="27">
        <v>0.1175827203297882</v>
      </c>
      <c r="K61" s="66"/>
      <c r="L61" s="27">
        <f t="shared" ref="L61:L62" si="69">SQRT(((AS61/J61)^2)/3)*2*J61</f>
        <v>6.6553946105505579E-2</v>
      </c>
      <c r="M61" s="53"/>
      <c r="O61" s="6"/>
      <c r="P61" s="6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f t="shared" si="67"/>
        <v>49.018603998793921</v>
      </c>
      <c r="AS61" s="6">
        <f t="shared" si="68"/>
        <v>5.7637408049468236E-2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</row>
    <row r="62" spans="1:244" s="3" customFormat="1" ht="15" customHeight="1">
      <c r="A62" s="21">
        <v>56</v>
      </c>
      <c r="B62" s="54" t="s">
        <v>198</v>
      </c>
      <c r="C62" s="54"/>
      <c r="D62" s="54"/>
      <c r="E62" s="54"/>
      <c r="F62" s="54"/>
      <c r="G62" s="54"/>
      <c r="H62" s="54"/>
      <c r="I62" s="64"/>
      <c r="J62" s="27">
        <v>0.14736921739081585</v>
      </c>
      <c r="K62" s="66"/>
      <c r="L62" s="27">
        <f t="shared" si="69"/>
        <v>7.1713118734425679E-2</v>
      </c>
      <c r="M62" s="53"/>
      <c r="O62" s="6"/>
      <c r="P62" s="6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f t="shared" si="67"/>
        <v>42.142710471157613</v>
      </c>
      <c r="AS62" s="6">
        <f t="shared" si="68"/>
        <v>6.2105382608622382E-2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</row>
    <row r="63" spans="1:244" s="3" customFormat="1" ht="15" customHeight="1">
      <c r="A63" s="21">
        <v>57</v>
      </c>
      <c r="B63" s="54" t="s">
        <v>199</v>
      </c>
      <c r="C63" s="54"/>
      <c r="D63" s="54"/>
      <c r="E63" s="54"/>
      <c r="F63" s="54"/>
      <c r="G63" s="54"/>
      <c r="H63" s="54"/>
      <c r="I63" s="64"/>
      <c r="J63" s="27">
        <v>0.12443558010755582</v>
      </c>
      <c r="K63" s="66"/>
      <c r="L63" s="27">
        <f>SQRT(((AS63/J63)^2)/3)*2*J63</f>
        <v>6.774089623672945E-2</v>
      </c>
      <c r="M63" s="53"/>
      <c r="O63" s="6"/>
      <c r="P63" s="6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f t="shared" si="67"/>
        <v>47.145146882769403</v>
      </c>
      <c r="AS63" s="6">
        <f t="shared" si="68"/>
        <v>5.8665337016133377E-2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</row>
    <row r="64" spans="1:244" s="3" customFormat="1" ht="15" customHeight="1">
      <c r="A64" s="21">
        <v>58</v>
      </c>
      <c r="B64" s="54" t="s">
        <v>200</v>
      </c>
      <c r="C64" s="54"/>
      <c r="D64" s="54"/>
      <c r="E64" s="54"/>
      <c r="F64" s="54"/>
      <c r="G64" s="54"/>
      <c r="H64" s="54"/>
      <c r="I64" s="64"/>
      <c r="J64" s="27">
        <v>0.13883929155974895</v>
      </c>
      <c r="K64" s="66"/>
      <c r="L64" s="27">
        <f t="shared" ref="L64:L65" si="70">SQRT(((AS64/J64)^2)/3)*2*J64</f>
        <v>7.023569224200546E-2</v>
      </c>
      <c r="M64" s="53"/>
      <c r="O64" s="6"/>
      <c r="P64" s="6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f t="shared" si="67"/>
        <v>43.810288176086061</v>
      </c>
      <c r="AS64" s="6">
        <f t="shared" si="68"/>
        <v>6.0825893733962341E-2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</row>
    <row r="65" spans="1:244" s="3" customFormat="1" ht="15" customHeight="1">
      <c r="A65" s="21">
        <v>59</v>
      </c>
      <c r="B65" s="54" t="s">
        <v>201</v>
      </c>
      <c r="C65" s="54"/>
      <c r="D65" s="54"/>
      <c r="E65" s="54"/>
      <c r="F65" s="54"/>
      <c r="G65" s="54"/>
      <c r="H65" s="54"/>
      <c r="I65" s="64"/>
      <c r="J65" s="27">
        <v>0.12161851323708273</v>
      </c>
      <c r="K65" s="66"/>
      <c r="L65" s="27">
        <f t="shared" si="70"/>
        <v>6.7252965941931586E-2</v>
      </c>
      <c r="M65" s="53"/>
      <c r="O65" s="6"/>
      <c r="P65" s="6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f t="shared" si="67"/>
        <v>47.889729478952049</v>
      </c>
      <c r="AS65" s="6">
        <f t="shared" si="68"/>
        <v>5.8242776985562406E-2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</row>
    <row r="66" spans="1:244" s="3" customFormat="1" ht="15" customHeight="1">
      <c r="A66" s="21">
        <v>60</v>
      </c>
      <c r="B66" s="54" t="s">
        <v>202</v>
      </c>
      <c r="C66" s="54"/>
      <c r="D66" s="54"/>
      <c r="E66" s="54"/>
      <c r="F66" s="54"/>
      <c r="G66" s="54"/>
      <c r="H66" s="54"/>
      <c r="I66" s="64"/>
      <c r="J66" s="27">
        <v>0.17845098369938919</v>
      </c>
      <c r="K66" s="66"/>
      <c r="L66" s="27">
        <f>SQRT(((AS66/J66)^2)/3)*2*J66</f>
        <v>7.7096638577968821E-2</v>
      </c>
      <c r="M66" s="53"/>
      <c r="O66" s="6"/>
      <c r="P66" s="6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f t="shared" si="56"/>
        <v>37.415118802248955</v>
      </c>
      <c r="AS66" s="6">
        <f t="shared" si="57"/>
        <v>6.6767647554908383E-2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</row>
    <row r="67" spans="1:244" s="3" customFormat="1" ht="15" customHeight="1">
      <c r="A67" s="21">
        <v>61</v>
      </c>
      <c r="B67" s="54" t="s">
        <v>203</v>
      </c>
      <c r="C67" s="54"/>
      <c r="D67" s="54"/>
      <c r="E67" s="54"/>
      <c r="F67" s="54"/>
      <c r="G67" s="54"/>
      <c r="H67" s="54"/>
      <c r="I67" s="64"/>
      <c r="J67" s="27">
        <v>0.11</v>
      </c>
      <c r="K67" s="66"/>
      <c r="L67" s="27">
        <f t="shared" ref="L67:L68" si="71">SQRT(((AS67/J67)^2)/3)*2*J67</f>
        <v>6.5240580418427715E-2</v>
      </c>
      <c r="M67" s="53"/>
      <c r="O67" s="6"/>
      <c r="P67" s="6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f t="shared" si="56"/>
        <v>51.363636363636367</v>
      </c>
      <c r="AS67" s="6">
        <f t="shared" si="57"/>
        <v>5.6500000000000002E-2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</row>
    <row r="68" spans="1:244" s="3" customFormat="1" ht="15" customHeight="1">
      <c r="A68" s="21">
        <v>62</v>
      </c>
      <c r="B68" s="54" t="s">
        <v>204</v>
      </c>
      <c r="C68" s="54"/>
      <c r="D68" s="54"/>
      <c r="E68" s="54"/>
      <c r="F68" s="54"/>
      <c r="G68" s="54"/>
      <c r="H68" s="54"/>
      <c r="I68" s="64"/>
      <c r="J68" s="27">
        <v>0.15521911208171724</v>
      </c>
      <c r="K68" s="66"/>
      <c r="L68" s="27">
        <f t="shared" si="71"/>
        <v>7.3072760378296284E-2</v>
      </c>
      <c r="M68" s="53"/>
      <c r="O68" s="6"/>
      <c r="P68" s="6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f t="shared" si="56"/>
        <v>40.770022430576361</v>
      </c>
      <c r="AS68" s="6">
        <f t="shared" si="57"/>
        <v>6.3282866812257574E-2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</row>
    <row r="69" spans="1:244" s="3" customFormat="1" ht="15" customHeight="1">
      <c r="A69" s="21">
        <v>63</v>
      </c>
      <c r="B69" s="54" t="s">
        <v>205</v>
      </c>
      <c r="C69" s="54"/>
      <c r="D69" s="54"/>
      <c r="E69" s="54"/>
      <c r="F69" s="54"/>
      <c r="G69" s="54"/>
      <c r="H69" s="54"/>
      <c r="I69" s="64"/>
      <c r="J69" s="27">
        <v>0.15353762780311181</v>
      </c>
      <c r="K69" s="66"/>
      <c r="L69" s="27">
        <f>SQRT(((AS69/J69)^2)/3)*2*J69</f>
        <v>7.2781518758029018E-2</v>
      </c>
      <c r="M69" s="53"/>
      <c r="O69" s="6"/>
      <c r="P69" s="6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f t="shared" si="56"/>
        <v>41.052245675759558</v>
      </c>
      <c r="AS69" s="6">
        <f t="shared" si="57"/>
        <v>6.3030644170466776E-2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</row>
    <row r="70" spans="1:244" s="3" customFormat="1" ht="15" customHeight="1">
      <c r="A70" s="21">
        <v>64</v>
      </c>
      <c r="B70" s="54" t="s">
        <v>206</v>
      </c>
      <c r="C70" s="54"/>
      <c r="D70" s="54"/>
      <c r="E70" s="54"/>
      <c r="F70" s="54"/>
      <c r="G70" s="54"/>
      <c r="H70" s="54"/>
      <c r="I70" s="65"/>
      <c r="J70" s="27">
        <v>0.15598183576536906</v>
      </c>
      <c r="K70" s="66"/>
      <c r="L70" s="27">
        <f t="shared" ref="L70:L71" si="72">SQRT(((AS70/J70)^2)/3)*2*J70</f>
        <v>7.3204867995518424E-2</v>
      </c>
      <c r="M70" s="53"/>
      <c r="O70" s="6"/>
      <c r="P70" s="6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f t="shared" si="56"/>
        <v>40.644011563095582</v>
      </c>
      <c r="AS70" s="6">
        <f t="shared" si="57"/>
        <v>6.3397275364805369E-2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</row>
    <row r="71" spans="1:244" s="3" customFormat="1" ht="15" customHeight="1">
      <c r="A71" s="21">
        <v>65</v>
      </c>
      <c r="B71" s="54" t="s">
        <v>207</v>
      </c>
      <c r="C71" s="54"/>
      <c r="D71" s="54"/>
      <c r="E71" s="54"/>
      <c r="F71" s="54"/>
      <c r="G71" s="54"/>
      <c r="H71" s="54"/>
      <c r="I71" s="64">
        <v>46004</v>
      </c>
      <c r="J71" s="27">
        <v>0.14101698242886132</v>
      </c>
      <c r="K71" s="67" t="s">
        <v>111</v>
      </c>
      <c r="L71" s="27">
        <f t="shared" si="72"/>
        <v>7.0612879364853581E-2</v>
      </c>
      <c r="M71" s="53">
        <v>0.3</v>
      </c>
      <c r="O71" s="6"/>
      <c r="P71" s="6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f t="shared" si="56"/>
        <v>43.365377921895863</v>
      </c>
      <c r="AS71" s="6">
        <f t="shared" si="57"/>
        <v>6.1152547364329193E-2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</row>
    <row r="72" spans="1:244" s="3" customFormat="1" ht="15" customHeight="1">
      <c r="A72" s="21">
        <v>66</v>
      </c>
      <c r="B72" s="54" t="s">
        <v>208</v>
      </c>
      <c r="C72" s="54"/>
      <c r="D72" s="54"/>
      <c r="E72" s="54"/>
      <c r="F72" s="54"/>
      <c r="G72" s="54"/>
      <c r="H72" s="54"/>
      <c r="I72" s="64"/>
      <c r="J72" s="27">
        <v>0.2</v>
      </c>
      <c r="K72" s="68"/>
      <c r="L72" s="27">
        <f>SQRT(((AS72/J72)^2)/3)*2*J72</f>
        <v>8.0829037686547617E-2</v>
      </c>
      <c r="M72" s="53"/>
      <c r="O72" s="6"/>
      <c r="P72" s="6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f t="shared" ref="AR72:AR77" si="73">(15+4/J72)</f>
        <v>35</v>
      </c>
      <c r="AS72" s="6">
        <f t="shared" ref="AS72:AS77" si="74">J72*AR72/100</f>
        <v>7.0000000000000007E-2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</row>
    <row r="73" spans="1:244" s="3" customFormat="1" ht="15" customHeight="1">
      <c r="A73" s="21">
        <v>67</v>
      </c>
      <c r="B73" s="54" t="s">
        <v>209</v>
      </c>
      <c r="C73" s="54"/>
      <c r="D73" s="54"/>
      <c r="E73" s="54"/>
      <c r="F73" s="54"/>
      <c r="G73" s="54"/>
      <c r="H73" s="54"/>
      <c r="I73" s="64"/>
      <c r="J73" s="27">
        <v>0.1143166784641575</v>
      </c>
      <c r="K73" s="68"/>
      <c r="L73" s="27">
        <f t="shared" ref="L73" si="75">SQRT(((AS73/J73)^2)/3)*2*J73</f>
        <v>6.598825106041363E-2</v>
      </c>
      <c r="M73" s="53"/>
      <c r="O73" s="6"/>
      <c r="P73" s="6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f t="shared" si="73"/>
        <v>49.990519788887568</v>
      </c>
      <c r="AS73" s="6">
        <f t="shared" si="74"/>
        <v>5.7147501769623625E-2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</row>
    <row r="74" spans="1:244" s="3" customFormat="1" ht="15" customHeight="1">
      <c r="A74" s="21">
        <v>68</v>
      </c>
      <c r="B74" s="54" t="s">
        <v>210</v>
      </c>
      <c r="C74" s="54"/>
      <c r="D74" s="54"/>
      <c r="E74" s="54"/>
      <c r="F74" s="54"/>
      <c r="G74" s="54"/>
      <c r="H74" s="54"/>
      <c r="I74" s="64"/>
      <c r="J74" s="27">
        <v>0.13730066490646731</v>
      </c>
      <c r="K74" s="68"/>
      <c r="L74" s="27">
        <f>SQRT(((AS74/J74)^2)/3)*2*J74</f>
        <v>6.9969194288269115E-2</v>
      </c>
      <c r="M74" s="53"/>
      <c r="O74" s="6"/>
      <c r="P74" s="6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f t="shared" si="73"/>
        <v>44.13314369398649</v>
      </c>
      <c r="AS74" s="6">
        <f t="shared" si="74"/>
        <v>6.0595099735970097E-2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</row>
    <row r="75" spans="1:244" s="3" customFormat="1" ht="15" customHeight="1">
      <c r="A75" s="21">
        <v>69</v>
      </c>
      <c r="B75" s="54" t="s">
        <v>211</v>
      </c>
      <c r="C75" s="54"/>
      <c r="D75" s="54"/>
      <c r="E75" s="54"/>
      <c r="F75" s="54"/>
      <c r="G75" s="54"/>
      <c r="H75" s="54"/>
      <c r="I75" s="64"/>
      <c r="J75" s="27">
        <v>0.14071377038400631</v>
      </c>
      <c r="K75" s="68"/>
      <c r="L75" s="27">
        <f>SQRT(((AS75/J75)^2)/3)*2*J75</f>
        <v>7.0560361498138047E-2</v>
      </c>
      <c r="M75" s="53"/>
      <c r="O75" s="6"/>
      <c r="P75" s="6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f t="shared" si="73"/>
        <v>43.426500043912156</v>
      </c>
      <c r="AS75" s="6">
        <f t="shared" si="74"/>
        <v>6.1107065557600954E-2</v>
      </c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</row>
    <row r="76" spans="1:244" s="3" customFormat="1" ht="15" customHeight="1">
      <c r="A76" s="21">
        <v>70</v>
      </c>
      <c r="B76" s="54" t="s">
        <v>212</v>
      </c>
      <c r="C76" s="54"/>
      <c r="D76" s="54"/>
      <c r="E76" s="54"/>
      <c r="F76" s="54"/>
      <c r="G76" s="54"/>
      <c r="H76" s="54"/>
      <c r="I76" s="64"/>
      <c r="J76" s="27">
        <v>0.12269086055774396</v>
      </c>
      <c r="K76" s="68"/>
      <c r="L76" s="27">
        <f t="shared" ref="L76:L77" si="76">SQRT(((AS76/J76)^2)/3)*2*J76</f>
        <v>6.7438701946206145E-2</v>
      </c>
      <c r="M76" s="53"/>
      <c r="O76" s="6"/>
      <c r="P76" s="6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f t="shared" si="73"/>
        <v>47.602265415828718</v>
      </c>
      <c r="AS76" s="6">
        <f t="shared" si="74"/>
        <v>5.840362908366159E-2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</row>
    <row r="77" spans="1:244" s="3" customFormat="1" ht="15" customHeight="1">
      <c r="A77" s="21">
        <v>71</v>
      </c>
      <c r="B77" s="54" t="s">
        <v>213</v>
      </c>
      <c r="C77" s="54"/>
      <c r="D77" s="54"/>
      <c r="E77" s="54"/>
      <c r="F77" s="54"/>
      <c r="G77" s="54"/>
      <c r="H77" s="54"/>
      <c r="I77" s="64"/>
      <c r="J77" s="27">
        <v>0.16096234928755315</v>
      </c>
      <c r="K77" s="68"/>
      <c r="L77" s="27">
        <f t="shared" si="76"/>
        <v>7.4067518242339078E-2</v>
      </c>
      <c r="M77" s="53"/>
      <c r="O77" s="6"/>
      <c r="P77" s="6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f t="shared" si="73"/>
        <v>39.850531926905163</v>
      </c>
      <c r="AS77" s="6">
        <f t="shared" si="74"/>
        <v>6.4144352393132972E-2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</row>
    <row r="78" spans="1:244" s="3" customFormat="1" ht="15" customHeight="1">
      <c r="A78" s="21">
        <v>72</v>
      </c>
      <c r="B78" s="54" t="s">
        <v>214</v>
      </c>
      <c r="C78" s="54"/>
      <c r="D78" s="54"/>
      <c r="E78" s="54"/>
      <c r="F78" s="54"/>
      <c r="G78" s="54"/>
      <c r="H78" s="54"/>
      <c r="I78" s="64"/>
      <c r="J78" s="27">
        <v>0.1352172656079465</v>
      </c>
      <c r="K78" s="68"/>
      <c r="L78" s="27">
        <f>SQRT(((AS78/J78)^2)/3)*2*J78</f>
        <v>6.9608338944519968E-2</v>
      </c>
      <c r="M78" s="53"/>
      <c r="O78" s="6"/>
      <c r="P78" s="6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f t="shared" si="56"/>
        <v>44.582021068209841</v>
      </c>
      <c r="AS78" s="6">
        <f t="shared" si="57"/>
        <v>6.0282589841191968E-2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</row>
    <row r="79" spans="1:244" s="3" customFormat="1" ht="15" customHeight="1">
      <c r="A79" s="21">
        <v>73</v>
      </c>
      <c r="B79" s="54" t="s">
        <v>215</v>
      </c>
      <c r="C79" s="54"/>
      <c r="D79" s="54"/>
      <c r="E79" s="54"/>
      <c r="F79" s="54"/>
      <c r="G79" s="54"/>
      <c r="H79" s="54"/>
      <c r="I79" s="64"/>
      <c r="J79" s="27">
        <v>0.14007542706591458</v>
      </c>
      <c r="K79" s="68"/>
      <c r="L79" s="27">
        <f t="shared" ref="L79:L80" si="77">SQRT(((AS79/J79)^2)/3)*2*J79</f>
        <v>7.0449797192177338E-2</v>
      </c>
      <c r="M79" s="53"/>
      <c r="O79" s="6"/>
      <c r="P79" s="6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f t="shared" si="56"/>
        <v>43.556043581560814</v>
      </c>
      <c r="AS79" s="6">
        <f t="shared" si="57"/>
        <v>6.1011314059887189E-2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</row>
    <row r="80" spans="1:244" s="3" customFormat="1" ht="15" customHeight="1">
      <c r="A80" s="21">
        <v>74</v>
      </c>
      <c r="B80" s="54" t="s">
        <v>216</v>
      </c>
      <c r="C80" s="54"/>
      <c r="D80" s="54"/>
      <c r="E80" s="54"/>
      <c r="F80" s="54"/>
      <c r="G80" s="54"/>
      <c r="H80" s="54"/>
      <c r="I80" s="64"/>
      <c r="J80" s="27">
        <v>0.12736220230809039</v>
      </c>
      <c r="K80" s="68"/>
      <c r="L80" s="27">
        <f t="shared" si="77"/>
        <v>6.8247802071317934E-2</v>
      </c>
      <c r="M80" s="53"/>
      <c r="O80" s="6"/>
      <c r="P80" s="6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f t="shared" si="56"/>
        <v>46.406492095071982</v>
      </c>
      <c r="AS80" s="6">
        <f t="shared" si="57"/>
        <v>5.9104330346213561E-2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</row>
    <row r="81" spans="1:244" s="3" customFormat="1" ht="15" customHeight="1">
      <c r="A81" s="21">
        <v>75</v>
      </c>
      <c r="B81" s="54" t="s">
        <v>217</v>
      </c>
      <c r="C81" s="54"/>
      <c r="D81" s="54"/>
      <c r="E81" s="54"/>
      <c r="F81" s="54"/>
      <c r="G81" s="54"/>
      <c r="H81" s="54"/>
      <c r="I81" s="64"/>
      <c r="J81" s="27">
        <v>0.12165694075007598</v>
      </c>
      <c r="K81" s="68"/>
      <c r="L81" s="27">
        <f>SQRT(((AS81/J81)^2)/3)*2*J81</f>
        <v>6.7259621782422882E-2</v>
      </c>
      <c r="M81" s="53"/>
      <c r="O81" s="6"/>
      <c r="P81" s="6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f t="shared" si="56"/>
        <v>47.879340671711752</v>
      </c>
      <c r="AS81" s="6">
        <f t="shared" si="57"/>
        <v>5.8248541112511404E-2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</row>
    <row r="82" spans="1:244" s="3" customFormat="1" ht="15" customHeight="1">
      <c r="A82" s="21">
        <v>76</v>
      </c>
      <c r="B82" s="54" t="s">
        <v>218</v>
      </c>
      <c r="C82" s="54"/>
      <c r="D82" s="54"/>
      <c r="E82" s="54"/>
      <c r="F82" s="54"/>
      <c r="G82" s="54"/>
      <c r="H82" s="54"/>
      <c r="I82" s="64"/>
      <c r="J82" s="27">
        <v>0.1</v>
      </c>
      <c r="K82" s="68"/>
      <c r="L82" s="27">
        <f t="shared" ref="L82:L83" si="78">SQRT(((AS82/J82)^2)/3)*2*J82</f>
        <v>6.350852961085883E-2</v>
      </c>
      <c r="M82" s="53"/>
      <c r="O82" s="6"/>
      <c r="P82" s="6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f t="shared" si="56"/>
        <v>55</v>
      </c>
      <c r="AS82" s="6">
        <f t="shared" si="57"/>
        <v>5.5E-2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</row>
    <row r="83" spans="1:244" s="3" customFormat="1" ht="15" customHeight="1">
      <c r="A83" s="21">
        <v>77</v>
      </c>
      <c r="B83" s="54" t="s">
        <v>219</v>
      </c>
      <c r="C83" s="54"/>
      <c r="D83" s="54"/>
      <c r="E83" s="54"/>
      <c r="F83" s="54"/>
      <c r="G83" s="54"/>
      <c r="H83" s="54"/>
      <c r="I83" s="64"/>
      <c r="J83" s="27">
        <v>0.13944118303610947</v>
      </c>
      <c r="K83" s="68"/>
      <c r="L83" s="27">
        <f t="shared" si="78"/>
        <v>7.0339942903775363E-2</v>
      </c>
      <c r="M83" s="53"/>
      <c r="O83" s="6"/>
      <c r="P83" s="6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f t="shared" si="56"/>
        <v>43.685929887472099</v>
      </c>
      <c r="AS83" s="6">
        <f t="shared" si="57"/>
        <v>6.0916177455416422E-2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</row>
    <row r="84" spans="1:244" s="3" customFormat="1" ht="15" customHeight="1">
      <c r="A84" s="21">
        <v>78</v>
      </c>
      <c r="B84" s="54" t="s">
        <v>220</v>
      </c>
      <c r="C84" s="54"/>
      <c r="D84" s="54"/>
      <c r="E84" s="54"/>
      <c r="F84" s="54"/>
      <c r="G84" s="54"/>
      <c r="H84" s="54"/>
      <c r="I84" s="64"/>
      <c r="J84" s="27">
        <v>0.12709975111234145</v>
      </c>
      <c r="K84" s="68"/>
      <c r="L84" s="27">
        <f>SQRT(((AS84/J84)^2)/3)*2*J84</f>
        <v>6.82023441907635E-2</v>
      </c>
      <c r="M84" s="53"/>
      <c r="O84" s="6"/>
      <c r="P84" s="6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f t="shared" ref="AR84:AR89" si="79">(15+4/J84)</f>
        <v>46.4713440820546</v>
      </c>
      <c r="AS84" s="6">
        <f t="shared" ref="AS84:AS89" si="80">J84*AR84/100</f>
        <v>5.9064962666851219E-2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</row>
    <row r="85" spans="1:244" s="3" customFormat="1" ht="15" customHeight="1">
      <c r="A85" s="21">
        <v>79</v>
      </c>
      <c r="B85" s="54" t="s">
        <v>221</v>
      </c>
      <c r="C85" s="54"/>
      <c r="D85" s="54"/>
      <c r="E85" s="54"/>
      <c r="F85" s="54"/>
      <c r="G85" s="54"/>
      <c r="H85" s="54"/>
      <c r="I85" s="64"/>
      <c r="J85" s="27">
        <v>0.11351037297067369</v>
      </c>
      <c r="K85" s="68"/>
      <c r="L85" s="27">
        <f t="shared" ref="L85:L86" si="81">SQRT(((AS85/J85)^2)/3)*2*J85</f>
        <v>6.5848594852300046E-2</v>
      </c>
      <c r="M85" s="53"/>
      <c r="O85" s="6"/>
      <c r="P85" s="6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f t="shared" si="79"/>
        <v>50.239070186417514</v>
      </c>
      <c r="AS85" s="6">
        <f t="shared" si="80"/>
        <v>5.7026555945601048E-2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</row>
    <row r="86" spans="1:244" s="3" customFormat="1" ht="15" customHeight="1">
      <c r="A86" s="21">
        <v>80</v>
      </c>
      <c r="B86" s="54" t="s">
        <v>222</v>
      </c>
      <c r="C86" s="54"/>
      <c r="D86" s="54"/>
      <c r="E86" s="54"/>
      <c r="F86" s="54"/>
      <c r="G86" s="54"/>
      <c r="H86" s="54"/>
      <c r="I86" s="64"/>
      <c r="J86" s="27">
        <v>0.129159106883037</v>
      </c>
      <c r="K86" s="68"/>
      <c r="L86" s="27">
        <f t="shared" si="81"/>
        <v>6.8559035073333982E-2</v>
      </c>
      <c r="M86" s="53"/>
      <c r="O86" s="6"/>
      <c r="P86" s="6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f t="shared" si="79"/>
        <v>45.96955450166044</v>
      </c>
      <c r="AS86" s="6">
        <f t="shared" si="80"/>
        <v>5.9373866032455556E-2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</row>
    <row r="87" spans="1:244" s="3" customFormat="1" ht="15" customHeight="1">
      <c r="A87" s="21">
        <v>81</v>
      </c>
      <c r="B87" s="54" t="s">
        <v>223</v>
      </c>
      <c r="C87" s="54"/>
      <c r="D87" s="54"/>
      <c r="E87" s="54"/>
      <c r="F87" s="54"/>
      <c r="G87" s="54"/>
      <c r="H87" s="54"/>
      <c r="I87" s="64"/>
      <c r="J87" s="27">
        <v>0.12263655491975406</v>
      </c>
      <c r="K87" s="68"/>
      <c r="L87" s="27">
        <f>SQRT(((AS87/J87)^2)/3)*2*J87</f>
        <v>6.7429295933792557E-2</v>
      </c>
      <c r="M87" s="53"/>
      <c r="O87" s="6"/>
      <c r="P87" s="6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f t="shared" si="79"/>
        <v>47.616702276228793</v>
      </c>
      <c r="AS87" s="6">
        <f t="shared" si="80"/>
        <v>5.8395483237963106E-2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</row>
    <row r="88" spans="1:244" s="3" customFormat="1" ht="15" customHeight="1">
      <c r="A88" s="21">
        <v>82</v>
      </c>
      <c r="B88" s="54" t="s">
        <v>224</v>
      </c>
      <c r="C88" s="54"/>
      <c r="D88" s="54"/>
      <c r="E88" s="54"/>
      <c r="F88" s="54"/>
      <c r="G88" s="54"/>
      <c r="H88" s="54"/>
      <c r="I88" s="64"/>
      <c r="J88" s="27">
        <v>0.1244541924112466</v>
      </c>
      <c r="K88" s="68"/>
      <c r="L88" s="27">
        <f t="shared" ref="L88:L89" si="82">SQRT(((AS88/J88)^2)/3)*2*J88</f>
        <v>6.774411998229328E-2</v>
      </c>
      <c r="M88" s="53"/>
      <c r="O88" s="6"/>
      <c r="P88" s="6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f t="shared" si="79"/>
        <v>47.140339529763651</v>
      </c>
      <c r="AS88" s="6">
        <f t="shared" si="80"/>
        <v>5.8668128861686999E-2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</row>
    <row r="89" spans="1:244" s="3" customFormat="1" ht="15" customHeight="1">
      <c r="A89" s="21">
        <v>83</v>
      </c>
      <c r="B89" s="54" t="s">
        <v>225</v>
      </c>
      <c r="C89" s="54"/>
      <c r="D89" s="54"/>
      <c r="E89" s="54"/>
      <c r="F89" s="54"/>
      <c r="G89" s="54"/>
      <c r="H89" s="54"/>
      <c r="I89" s="64"/>
      <c r="J89" s="27">
        <v>0.1</v>
      </c>
      <c r="K89" s="68"/>
      <c r="L89" s="27">
        <f t="shared" si="82"/>
        <v>6.350852961085883E-2</v>
      </c>
      <c r="M89" s="53"/>
      <c r="O89" s="6"/>
      <c r="P89" s="6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f t="shared" si="79"/>
        <v>55</v>
      </c>
      <c r="AS89" s="6">
        <f t="shared" si="80"/>
        <v>5.5E-2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</row>
    <row r="90" spans="1:244" s="3" customFormat="1" ht="15" customHeight="1">
      <c r="A90" s="21">
        <v>84</v>
      </c>
      <c r="B90" s="54" t="s">
        <v>226</v>
      </c>
      <c r="C90" s="54"/>
      <c r="D90" s="54"/>
      <c r="E90" s="54"/>
      <c r="F90" s="54"/>
      <c r="G90" s="54"/>
      <c r="H90" s="54"/>
      <c r="I90" s="64"/>
      <c r="J90" s="27">
        <v>0.15231017854072865</v>
      </c>
      <c r="K90" s="68"/>
      <c r="L90" s="27">
        <f>SQRT(((AS90/J90)^2)/3)*2*J90</f>
        <v>7.2568918309412964E-2</v>
      </c>
      <c r="M90" s="53"/>
      <c r="O90" s="6"/>
      <c r="P90" s="6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f t="shared" si="56"/>
        <v>41.262197565019441</v>
      </c>
      <c r="AS90" s="6">
        <f t="shared" si="57"/>
        <v>6.2846526781109302E-2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</row>
    <row r="91" spans="1:244" s="3" customFormat="1" ht="15" customHeight="1">
      <c r="A91" s="21">
        <v>85</v>
      </c>
      <c r="B91" s="54" t="s">
        <v>227</v>
      </c>
      <c r="C91" s="54"/>
      <c r="D91" s="54"/>
      <c r="E91" s="54"/>
      <c r="F91" s="54"/>
      <c r="G91" s="54"/>
      <c r="H91" s="54"/>
      <c r="I91" s="64"/>
      <c r="J91" s="27">
        <v>0.11450688624357887</v>
      </c>
      <c r="K91" s="68"/>
      <c r="L91" s="27">
        <f t="shared" si="58"/>
        <v>6.6021196014208888E-2</v>
      </c>
      <c r="M91" s="53"/>
      <c r="O91" s="6"/>
      <c r="P91" s="6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f t="shared" si="56"/>
        <v>49.932396917083281</v>
      </c>
      <c r="AS91" s="6">
        <f t="shared" si="57"/>
        <v>5.7176032936536829E-2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</row>
    <row r="92" spans="1:244" s="3" customFormat="1" ht="15" customHeight="1">
      <c r="A92" s="21">
        <v>86</v>
      </c>
      <c r="B92" s="54" t="s">
        <v>228</v>
      </c>
      <c r="C92" s="54"/>
      <c r="D92" s="54"/>
      <c r="E92" s="54"/>
      <c r="F92" s="54"/>
      <c r="G92" s="54"/>
      <c r="H92" s="54"/>
      <c r="I92" s="64"/>
      <c r="J92" s="27">
        <v>0.1155127417632914</v>
      </c>
      <c r="K92" s="68"/>
      <c r="L92" s="27">
        <f t="shared" si="58"/>
        <v>6.6195415300730462E-2</v>
      </c>
      <c r="M92" s="53"/>
      <c r="O92" s="6"/>
      <c r="P92" s="6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f t="shared" si="56"/>
        <v>49.62821450638576</v>
      </c>
      <c r="AS92" s="6">
        <f t="shared" si="57"/>
        <v>5.7326911264493713E-2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</row>
    <row r="93" spans="1:244" s="3" customFormat="1" ht="15" customHeight="1">
      <c r="A93" s="21">
        <v>87</v>
      </c>
      <c r="B93" s="54" t="s">
        <v>229</v>
      </c>
      <c r="C93" s="54"/>
      <c r="D93" s="54"/>
      <c r="E93" s="54"/>
      <c r="F93" s="54"/>
      <c r="G93" s="54"/>
      <c r="H93" s="54"/>
      <c r="I93" s="65"/>
      <c r="J93" s="27">
        <v>0.1</v>
      </c>
      <c r="K93" s="69"/>
      <c r="L93" s="27">
        <f>SQRT(((AS93/J93)^2)/3)*2*J93</f>
        <v>6.350852961085883E-2</v>
      </c>
      <c r="M93" s="53"/>
      <c r="O93" s="6"/>
      <c r="P93" s="6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f t="shared" si="56"/>
        <v>55</v>
      </c>
      <c r="AS93" s="6">
        <f t="shared" si="57"/>
        <v>5.5E-2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</row>
    <row r="94" spans="1:244"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</row>
    <row r="95" spans="1:244"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</row>
    <row r="96" spans="1:244"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</row>
    <row r="97" spans="15:244"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</row>
    <row r="98" spans="15:244"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</row>
    <row r="99" spans="15:244"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</row>
    <row r="100" spans="15:244" ht="15" customHeight="1"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</row>
    <row r="101" spans="15:244"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</row>
    <row r="102" spans="15:244"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</row>
    <row r="103" spans="15:244"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</row>
    <row r="104" spans="15:244"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</row>
    <row r="105" spans="15:244"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</row>
    <row r="106" spans="15:244"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</row>
    <row r="107" spans="15:244"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</row>
    <row r="108" spans="15:244"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</row>
    <row r="109" spans="15:244"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</row>
    <row r="110" spans="15:244"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</row>
    <row r="111" spans="15:244"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</row>
    <row r="112" spans="15:244"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</row>
    <row r="113" spans="15:244"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5:244"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5:244"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5:244"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5:244"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5:244"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5:244"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5:244"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5:244"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5:244"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5:244"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5:244"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5:244"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5:244"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5:244"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5:244"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15:244"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15:244"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15:244"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15:244"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15:244"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15:244"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15:244"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15:244"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15:244"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</row>
    <row r="138" spans="15:244"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</row>
    <row r="139" spans="15:244"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</row>
    <row r="140" spans="15:244"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</row>
    <row r="141" spans="15:244"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</row>
    <row r="142" spans="15:244"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</row>
    <row r="143" spans="15:244"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</row>
    <row r="144" spans="15:244"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</row>
    <row r="145" spans="15:244"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</row>
    <row r="146" spans="15:244"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</row>
    <row r="147" spans="15:244"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</row>
    <row r="148" spans="15:244"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</row>
    <row r="149" spans="15:244"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</row>
    <row r="150" spans="15:244"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</row>
    <row r="151" spans="15:244"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</row>
    <row r="152" spans="15:244"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</row>
    <row r="153" spans="15:244"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</row>
    <row r="154" spans="15:244"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</row>
    <row r="155" spans="15:244"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</row>
    <row r="156" spans="15:244"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</row>
    <row r="157" spans="15:244"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</row>
    <row r="158" spans="15:244"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</row>
    <row r="159" spans="15:244"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</row>
    <row r="160" spans="15:244"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</row>
    <row r="161" spans="15:244"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</row>
    <row r="162" spans="15:244"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</row>
    <row r="163" spans="15:244"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</row>
    <row r="164" spans="15:244"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</row>
    <row r="165" spans="15:244"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</row>
    <row r="166" spans="15:244"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</row>
    <row r="167" spans="15:244"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</row>
    <row r="168" spans="15:244"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</row>
    <row r="169" spans="15:244"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</row>
    <row r="170" spans="15:244"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</row>
    <row r="171" spans="15:244"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</row>
    <row r="172" spans="15:244"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</row>
    <row r="173" spans="15:244"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</row>
    <row r="174" spans="15:244"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</row>
    <row r="175" spans="15:244"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</row>
    <row r="176" spans="15:244"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</row>
    <row r="177" spans="15:244"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</row>
    <row r="178" spans="15:244"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</row>
    <row r="179" spans="15:244"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</row>
    <row r="180" spans="15:244"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</row>
    <row r="181" spans="15:244"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</row>
    <row r="182" spans="15:244"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</row>
    <row r="183" spans="15:244"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</row>
    <row r="184" spans="15:244"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</row>
    <row r="185" spans="15:244"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</row>
    <row r="186" spans="15:244"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</row>
    <row r="187" spans="15:244"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</row>
    <row r="188" spans="15:244"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</row>
    <row r="189" spans="15:244"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</row>
    <row r="190" spans="15:244"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</row>
    <row r="191" spans="15:244"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</row>
    <row r="192" spans="15:244"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</row>
    <row r="193" spans="15:244"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</row>
    <row r="194" spans="15:244"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</row>
    <row r="195" spans="15:244"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</row>
    <row r="196" spans="15:244"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</row>
    <row r="197" spans="15:244"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</row>
    <row r="198" spans="15:244"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</row>
    <row r="199" spans="15:244"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</row>
    <row r="200" spans="15:244"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</row>
    <row r="201" spans="15:244"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</row>
    <row r="202" spans="15:244"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</row>
    <row r="203" spans="15:244"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</row>
    <row r="204" spans="15:244"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</row>
    <row r="205" spans="15:244"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</row>
    <row r="206" spans="15:244"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</row>
    <row r="207" spans="15:244"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</row>
    <row r="208" spans="15:244"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</row>
    <row r="209" spans="15:244"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</row>
    <row r="210" spans="15:244"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</row>
    <row r="211" spans="15:244"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</row>
    <row r="212" spans="15:244"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</row>
    <row r="213" spans="15:244"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</row>
    <row r="214" spans="15:244"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</row>
    <row r="215" spans="15:244"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</row>
    <row r="216" spans="15:244"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</row>
    <row r="217" spans="15:244"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</row>
    <row r="218" spans="15:244"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</row>
    <row r="219" spans="15:244"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</row>
    <row r="220" spans="15:244"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</row>
    <row r="221" spans="15:244"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</row>
    <row r="222" spans="15:244"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</row>
    <row r="223" spans="15:244"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</row>
    <row r="224" spans="15:244"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</row>
    <row r="225" spans="15:244"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</row>
    <row r="226" spans="15:244"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</row>
    <row r="227" spans="15:244"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</row>
    <row r="228" spans="15:244"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</row>
    <row r="229" spans="15:244"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</row>
    <row r="230" spans="15:244"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</row>
    <row r="231" spans="15:244"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</row>
    <row r="232" spans="15:244"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</row>
    <row r="233" spans="15:244"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</row>
    <row r="234" spans="15:244"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</row>
    <row r="235" spans="15:244"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</row>
    <row r="236" spans="15:244"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</row>
    <row r="237" spans="15:244"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</row>
    <row r="238" spans="15:244"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</row>
    <row r="239" spans="15:244"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</row>
    <row r="240" spans="15:244"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</row>
    <row r="241" spans="15:244"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</row>
    <row r="242" spans="15:244"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</row>
    <row r="243" spans="15:244"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</row>
    <row r="244" spans="15:244"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</row>
    <row r="245" spans="15:244"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</row>
    <row r="246" spans="15:244"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</row>
    <row r="247" spans="15:244"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</row>
    <row r="248" spans="15:244"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</row>
    <row r="249" spans="15:244"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</row>
    <row r="250" spans="15:244"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</row>
    <row r="251" spans="15:244"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</row>
    <row r="252" spans="15:244"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</row>
    <row r="253" spans="15:244"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</row>
    <row r="254" spans="15:244"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</row>
    <row r="255" spans="15:244"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</row>
    <row r="256" spans="15:244"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</row>
    <row r="257" spans="15:244"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</row>
    <row r="258" spans="15:244"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</row>
    <row r="259" spans="15:244"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</row>
    <row r="260" spans="15:244"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</row>
    <row r="261" spans="15:244"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</row>
    <row r="262" spans="15:244"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</row>
    <row r="263" spans="15:244"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</row>
    <row r="264" spans="15:244"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</row>
    <row r="265" spans="15:244"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</row>
    <row r="266" spans="15:244"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</row>
    <row r="267" spans="15:244"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</row>
    <row r="268" spans="15:244"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</row>
    <row r="269" spans="15:244"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</row>
    <row r="270" spans="15:244"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</row>
    <row r="271" spans="15:244"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</row>
    <row r="272" spans="15:244"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</row>
    <row r="273" spans="15:244"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</row>
    <row r="274" spans="15:244"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</row>
    <row r="275" spans="15:244"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</row>
    <row r="276" spans="15:244"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</row>
    <row r="277" spans="15:244"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</row>
    <row r="278" spans="15:244"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</row>
    <row r="279" spans="15:244"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</row>
    <row r="280" spans="15:244"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</row>
    <row r="281" spans="15:244"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</row>
    <row r="282" spans="15:244"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</row>
    <row r="283" spans="15:244"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</row>
    <row r="284" spans="15:244"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</row>
    <row r="285" spans="15:244"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</row>
    <row r="286" spans="15:244"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</row>
    <row r="287" spans="15:244"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</row>
    <row r="288" spans="15:244"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</row>
    <row r="289" spans="15:244"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</row>
    <row r="290" spans="15:244"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</row>
    <row r="291" spans="15:244"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</row>
    <row r="292" spans="15:244"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</row>
    <row r="293" spans="15:244"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</row>
    <row r="294" spans="15:244"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</row>
    <row r="295" spans="15:244"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</row>
    <row r="296" spans="15:244"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</row>
    <row r="297" spans="15:244"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</row>
    <row r="298" spans="15:244"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</row>
    <row r="299" spans="15:244"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</row>
    <row r="300" spans="15:244"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</row>
    <row r="301" spans="15:244"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</row>
    <row r="302" spans="15:244"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</row>
    <row r="303" spans="15:244"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</row>
    <row r="304" spans="15:244"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</row>
    <row r="305" spans="15:244"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</row>
    <row r="306" spans="15:244"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</row>
    <row r="307" spans="15:244"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</row>
    <row r="308" spans="15:244"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</row>
    <row r="309" spans="15:244"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</row>
    <row r="310" spans="15:244"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</row>
    <row r="311" spans="15:244"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</row>
    <row r="312" spans="15:244"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</row>
    <row r="313" spans="15:244"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</row>
    <row r="314" spans="15:244"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</row>
    <row r="315" spans="15:244"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</row>
    <row r="316" spans="15:244"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</row>
    <row r="317" spans="15:244"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</row>
    <row r="318" spans="15:244"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</row>
    <row r="319" spans="15:244"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</row>
    <row r="320" spans="15:244"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</row>
    <row r="321" spans="15:244"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</row>
    <row r="322" spans="15:244"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</row>
    <row r="323" spans="15:244"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</row>
    <row r="324" spans="15:244"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</row>
    <row r="325" spans="15:244"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</row>
    <row r="326" spans="15:244"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</row>
    <row r="327" spans="15:244"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</row>
    <row r="328" spans="15:244"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</row>
    <row r="329" spans="15:244"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</row>
    <row r="330" spans="15:244"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</row>
    <row r="331" spans="15:244"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</row>
    <row r="332" spans="15:244"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</row>
    <row r="333" spans="15:244"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</row>
    <row r="334" spans="15:244"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</row>
    <row r="335" spans="15:244"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</row>
    <row r="336" spans="15:244"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</row>
    <row r="337" spans="15:244"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</row>
    <row r="338" spans="15:244"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</row>
    <row r="339" spans="15:244"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</row>
    <row r="340" spans="15:244"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</row>
    <row r="341" spans="15:244"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</row>
    <row r="342" spans="15:244"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</row>
    <row r="343" spans="15:244"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</row>
    <row r="344" spans="15:244"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</row>
    <row r="345" spans="15:244"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</row>
    <row r="346" spans="15:244"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</row>
    <row r="347" spans="15:244"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</row>
    <row r="348" spans="15:244"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</row>
    <row r="349" spans="15:244"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</row>
    <row r="350" spans="15:244"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</row>
    <row r="351" spans="15:244"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</row>
    <row r="352" spans="15:244"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</row>
    <row r="353" spans="15:244"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</row>
    <row r="354" spans="15:244"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</row>
    <row r="355" spans="15:244"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</row>
    <row r="356" spans="15:244"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</row>
    <row r="357" spans="15:244"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</row>
    <row r="358" spans="15:244"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</row>
    <row r="359" spans="15:244"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</row>
    <row r="360" spans="15:244"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</row>
    <row r="361" spans="15:244"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</row>
    <row r="362" spans="15:244"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</row>
    <row r="363" spans="15:244"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</row>
    <row r="364" spans="15:244"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</row>
    <row r="365" spans="15:244"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</row>
    <row r="366" spans="15:244"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</row>
    <row r="367" spans="15:244"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</row>
    <row r="368" spans="15:244"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</row>
    <row r="369" spans="15:244"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</row>
    <row r="370" spans="15:244"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</row>
    <row r="371" spans="15:244"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</row>
    <row r="372" spans="15:244"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</row>
    <row r="373" spans="15:244"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</row>
    <row r="374" spans="15:244"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</row>
    <row r="375" spans="15:244"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</row>
    <row r="376" spans="15:244"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</row>
    <row r="377" spans="15:244"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</row>
    <row r="378" spans="15:244"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</row>
    <row r="379" spans="15:244"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</row>
    <row r="380" spans="15:244"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</row>
    <row r="381" spans="15:244"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</row>
    <row r="382" spans="15:244"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</row>
    <row r="383" spans="15:244"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</row>
    <row r="384" spans="15:244"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</row>
    <row r="385" spans="15:244"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</row>
    <row r="386" spans="15:244"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</row>
    <row r="387" spans="15:244"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</row>
    <row r="388" spans="15:244"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</row>
    <row r="389" spans="15:244"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</row>
    <row r="390" spans="15:244"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</row>
    <row r="391" spans="15:244"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</row>
    <row r="392" spans="15:244"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</row>
    <row r="393" spans="15:244"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</row>
    <row r="394" spans="15:244"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</row>
    <row r="395" spans="15:244"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</row>
    <row r="396" spans="15:244"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</row>
    <row r="397" spans="15:244"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</row>
    <row r="398" spans="15:244"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</row>
    <row r="399" spans="15:244"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</row>
    <row r="400" spans="15:244"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</row>
    <row r="401" spans="15:244"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</row>
    <row r="402" spans="15:244"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</row>
    <row r="403" spans="15:244"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</row>
    <row r="404" spans="15:244"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</row>
    <row r="405" spans="15:244"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</row>
    <row r="406" spans="15:244"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</row>
    <row r="407" spans="15:244"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</row>
  </sheetData>
  <mergeCells count="107">
    <mergeCell ref="I39:I70"/>
    <mergeCell ref="I71:I93"/>
    <mergeCell ref="K39:K70"/>
    <mergeCell ref="K71:K93"/>
    <mergeCell ref="B42:H42"/>
    <mergeCell ref="B43:H43"/>
    <mergeCell ref="B44:H44"/>
    <mergeCell ref="B45:H45"/>
    <mergeCell ref="B46:H46"/>
    <mergeCell ref="B59:H59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B71:H71"/>
    <mergeCell ref="B60:H60"/>
    <mergeCell ref="B70:H70"/>
    <mergeCell ref="B41:H41"/>
    <mergeCell ref="B90:H90"/>
    <mergeCell ref="B91:H91"/>
    <mergeCell ref="B92:H92"/>
    <mergeCell ref="B93:H93"/>
    <mergeCell ref="B85:H85"/>
    <mergeCell ref="B86:H86"/>
    <mergeCell ref="B87:H87"/>
    <mergeCell ref="B88:H88"/>
    <mergeCell ref="B89:H89"/>
    <mergeCell ref="B78:H78"/>
    <mergeCell ref="B61:H61"/>
    <mergeCell ref="B62:H62"/>
    <mergeCell ref="B63:H63"/>
    <mergeCell ref="B64:H64"/>
    <mergeCell ref="B65:H65"/>
    <mergeCell ref="B66:H66"/>
    <mergeCell ref="B67:H67"/>
    <mergeCell ref="B68:H68"/>
    <mergeCell ref="B69:H69"/>
    <mergeCell ref="B47:H47"/>
    <mergeCell ref="A4:A5"/>
    <mergeCell ref="B4:H5"/>
    <mergeCell ref="I4:I5"/>
    <mergeCell ref="B22:H22"/>
    <mergeCell ref="B13:H13"/>
    <mergeCell ref="B14:H14"/>
    <mergeCell ref="B15:H15"/>
    <mergeCell ref="B16:H16"/>
    <mergeCell ref="B17:H17"/>
    <mergeCell ref="B18:H18"/>
    <mergeCell ref="I7:I18"/>
    <mergeCell ref="B19:H19"/>
    <mergeCell ref="B20:H20"/>
    <mergeCell ref="B21:H21"/>
    <mergeCell ref="I19:I34"/>
    <mergeCell ref="B25:H25"/>
    <mergeCell ref="B24:H24"/>
    <mergeCell ref="B26:H26"/>
    <mergeCell ref="B32:H32"/>
    <mergeCell ref="B31:H31"/>
    <mergeCell ref="B30:H30"/>
    <mergeCell ref="B29:H29"/>
    <mergeCell ref="B28:H28"/>
    <mergeCell ref="B27:H27"/>
    <mergeCell ref="M4:M5"/>
    <mergeCell ref="B7:H7"/>
    <mergeCell ref="B6:H6"/>
    <mergeCell ref="B23:H23"/>
    <mergeCell ref="L4:L5"/>
    <mergeCell ref="J4:J5"/>
    <mergeCell ref="K4:K5"/>
    <mergeCell ref="B8:H8"/>
    <mergeCell ref="B9:H9"/>
    <mergeCell ref="B10:H10"/>
    <mergeCell ref="B11:H11"/>
    <mergeCell ref="B12:H12"/>
    <mergeCell ref="M7:M18"/>
    <mergeCell ref="M19:M34"/>
    <mergeCell ref="M39:M70"/>
    <mergeCell ref="M71:M93"/>
    <mergeCell ref="B36:H36"/>
    <mergeCell ref="B35:H35"/>
    <mergeCell ref="B34:H34"/>
    <mergeCell ref="B33:H33"/>
    <mergeCell ref="B84:H84"/>
    <mergeCell ref="B38:H38"/>
    <mergeCell ref="B79:H79"/>
    <mergeCell ref="B80:H80"/>
    <mergeCell ref="B81:H81"/>
    <mergeCell ref="B82:H82"/>
    <mergeCell ref="B83:H83"/>
    <mergeCell ref="B72:H72"/>
    <mergeCell ref="B73:H73"/>
    <mergeCell ref="B74:H74"/>
    <mergeCell ref="B75:H75"/>
    <mergeCell ref="B76:H76"/>
    <mergeCell ref="B77:H77"/>
    <mergeCell ref="B40:H40"/>
    <mergeCell ref="B39:H39"/>
    <mergeCell ref="B37:H37"/>
    <mergeCell ref="M35:M38"/>
    <mergeCell ref="I35:I38"/>
  </mergeCells>
  <phoneticPr fontId="6" type="noConversion"/>
  <pageMargins left="0.7" right="0.7" top="0.75" bottom="0.75" header="0.3" footer="0.3"/>
  <pageSetup paperSize="9" orientation="landscape" r:id="rId1"/>
  <headerFooter differentFirst="1">
    <oddFooter>&amp;R&amp;"Arial,обычный"&amp;9&amp;K000000Протокол от 24 декабря 2025 г. № 41/26.11.25-1-Р/25
Общее количество страниц &amp;N Страница &amp;P</oddFooter>
    <firstFooter>&amp;R&amp;"Arial,обычный"&amp;9Протокол от 24 декабря 2025 г. № 41/26.11.25-1-Р/25
Общее количество страниц &amp;N Страница &amp;P</firstFooter>
  </headerFooter>
  <rowBreaks count="1" manualBreakCount="1">
    <brk id="38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2880-EB74-4A70-AFF1-62B30E49F8BC}">
  <dimension ref="A1:HN537"/>
  <sheetViews>
    <sheetView tabSelected="1" view="pageLayout" zoomScaleNormal="100" zoomScaleSheetLayoutView="100" workbookViewId="0">
      <selection activeCell="W4" sqref="W4"/>
    </sheetView>
  </sheetViews>
  <sheetFormatPr defaultRowHeight="15"/>
  <cols>
    <col min="1" max="9" width="5" customWidth="1"/>
    <col min="10" max="10" width="2.85546875" customWidth="1"/>
    <col min="11" max="11" width="15" customWidth="1"/>
    <col min="12" max="13" width="17.140625" customWidth="1"/>
    <col min="14" max="14" width="28.28515625" customWidth="1"/>
    <col min="15" max="15" width="5" customWidth="1"/>
    <col min="16" max="16" width="6" bestFit="1" customWidth="1"/>
    <col min="17" max="19" width="4.5703125" customWidth="1"/>
    <col min="20" max="20" width="8" customWidth="1"/>
    <col min="21" max="133" width="4.5703125" customWidth="1"/>
  </cols>
  <sheetData>
    <row r="1" spans="1:221" s="3" customFormat="1">
      <c r="A1" s="3" t="s">
        <v>96</v>
      </c>
      <c r="B1" s="3" t="s">
        <v>97</v>
      </c>
      <c r="C1"/>
      <c r="D1"/>
      <c r="E1"/>
      <c r="F1"/>
      <c r="G1"/>
      <c r="H1"/>
      <c r="I1"/>
      <c r="J1"/>
      <c r="K1"/>
      <c r="L1"/>
      <c r="M1"/>
      <c r="N1"/>
      <c r="O1"/>
      <c r="P1" s="7"/>
    </row>
    <row r="2" spans="1:221" s="3" customFormat="1" ht="9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 s="7"/>
    </row>
    <row r="3" spans="1:221" s="3" customFormat="1" ht="57.75" customHeight="1">
      <c r="A3" s="28" t="s">
        <v>98</v>
      </c>
      <c r="B3" s="54" t="s">
        <v>99</v>
      </c>
      <c r="C3" s="54"/>
      <c r="D3" s="54"/>
      <c r="E3" s="54"/>
      <c r="F3" s="54"/>
      <c r="G3" s="54"/>
      <c r="H3" s="54"/>
      <c r="I3" s="54"/>
      <c r="J3" s="54"/>
      <c r="K3" s="28" t="s">
        <v>53</v>
      </c>
      <c r="L3" s="28" t="s">
        <v>168</v>
      </c>
      <c r="M3" s="28" t="s">
        <v>169</v>
      </c>
      <c r="N3" s="28" t="s">
        <v>312</v>
      </c>
      <c r="O3"/>
      <c r="P3" s="7"/>
    </row>
    <row r="4" spans="1:221" s="3" customFormat="1">
      <c r="A4" s="31">
        <v>1</v>
      </c>
      <c r="B4" s="108">
        <v>2</v>
      </c>
      <c r="C4" s="108"/>
      <c r="D4" s="108"/>
      <c r="E4" s="108"/>
      <c r="F4" s="108"/>
      <c r="G4" s="108"/>
      <c r="H4" s="108"/>
      <c r="I4" s="108"/>
      <c r="J4" s="108"/>
      <c r="K4" s="31">
        <v>3</v>
      </c>
      <c r="L4" s="31">
        <v>4</v>
      </c>
      <c r="M4" s="31">
        <v>5</v>
      </c>
      <c r="N4" s="31">
        <v>6</v>
      </c>
      <c r="O4"/>
      <c r="P4" s="7"/>
    </row>
    <row r="5" spans="1:221" s="3" customFormat="1" ht="15" customHeight="1">
      <c r="A5" s="31">
        <v>1</v>
      </c>
      <c r="B5" s="108" t="s">
        <v>100</v>
      </c>
      <c r="C5" s="108"/>
      <c r="D5" s="108"/>
      <c r="E5" s="108"/>
      <c r="F5" s="108"/>
      <c r="G5" s="108"/>
      <c r="H5" s="108"/>
      <c r="I5" s="108"/>
      <c r="J5" s="108"/>
      <c r="K5" s="109">
        <v>46004</v>
      </c>
      <c r="L5" s="31">
        <v>17</v>
      </c>
      <c r="M5" s="44">
        <f t="shared" ref="M5:M87" si="0">SQRT(((L5*0.3/L5)^2)/3)*2*L5</f>
        <v>5.8889727457341827</v>
      </c>
      <c r="N5" s="108">
        <v>80</v>
      </c>
      <c r="O5"/>
      <c r="P5" s="7">
        <f t="shared" ref="P5:P36" si="1">$L$88</f>
        <v>15.91566265060241</v>
      </c>
      <c r="T5" s="6">
        <f t="shared" ref="T5:T87" si="2">L5-P5</f>
        <v>1.0843373493975896</v>
      </c>
      <c r="X5" s="3">
        <f t="shared" ref="X5:X87" si="3">30/L5</f>
        <v>1.7647058823529411</v>
      </c>
      <c r="Y5" s="3">
        <f t="shared" ref="Y5:Y87" si="4">(0.3*L5)^2</f>
        <v>26.009999999999998</v>
      </c>
    </row>
    <row r="6" spans="1:221" s="3" customFormat="1">
      <c r="A6" s="31">
        <v>2</v>
      </c>
      <c r="B6" s="108" t="s">
        <v>101</v>
      </c>
      <c r="C6" s="108"/>
      <c r="D6" s="108"/>
      <c r="E6" s="108"/>
      <c r="F6" s="108"/>
      <c r="G6" s="108"/>
      <c r="H6" s="108"/>
      <c r="I6" s="108"/>
      <c r="J6" s="108"/>
      <c r="K6" s="109"/>
      <c r="L6" s="31">
        <v>17</v>
      </c>
      <c r="M6" s="44">
        <f t="shared" si="0"/>
        <v>5.8889727457341827</v>
      </c>
      <c r="N6" s="108"/>
      <c r="O6"/>
      <c r="P6" s="7">
        <f t="shared" si="1"/>
        <v>15.91566265060241</v>
      </c>
      <c r="Q6" s="6"/>
      <c r="R6" s="6"/>
      <c r="S6" s="6"/>
      <c r="T6" s="6">
        <f t="shared" si="2"/>
        <v>1.0843373493975896</v>
      </c>
      <c r="U6" s="6"/>
      <c r="V6" s="6"/>
      <c r="W6" s="6"/>
      <c r="X6" s="3">
        <f t="shared" si="3"/>
        <v>1.7647058823529411</v>
      </c>
      <c r="Y6" s="3">
        <f t="shared" si="4"/>
        <v>26.009999999999998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</row>
    <row r="7" spans="1:221" s="3" customFormat="1">
      <c r="A7" s="31">
        <v>3</v>
      </c>
      <c r="B7" s="108" t="s">
        <v>102</v>
      </c>
      <c r="C7" s="108"/>
      <c r="D7" s="108"/>
      <c r="E7" s="108"/>
      <c r="F7" s="108"/>
      <c r="G7" s="108"/>
      <c r="H7" s="108"/>
      <c r="I7" s="108"/>
      <c r="J7" s="108"/>
      <c r="K7" s="109"/>
      <c r="L7" s="31">
        <v>18</v>
      </c>
      <c r="M7" s="44">
        <f t="shared" si="0"/>
        <v>6.2353829072479581</v>
      </c>
      <c r="N7" s="108"/>
      <c r="O7"/>
      <c r="P7" s="7">
        <f t="shared" si="1"/>
        <v>15.91566265060241</v>
      </c>
      <c r="Q7" s="6"/>
      <c r="R7" s="6"/>
      <c r="S7" s="6"/>
      <c r="T7" s="6">
        <f t="shared" si="2"/>
        <v>2.0843373493975896</v>
      </c>
      <c r="U7" s="6"/>
      <c r="V7" s="6"/>
      <c r="W7" s="6"/>
      <c r="X7" s="3">
        <f t="shared" si="3"/>
        <v>1.6666666666666667</v>
      </c>
      <c r="Y7" s="3">
        <f t="shared" si="4"/>
        <v>29.159999999999993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</row>
    <row r="8" spans="1:221" s="3" customFormat="1">
      <c r="A8" s="31">
        <v>4</v>
      </c>
      <c r="B8" s="108" t="s">
        <v>103</v>
      </c>
      <c r="C8" s="108"/>
      <c r="D8" s="108"/>
      <c r="E8" s="108"/>
      <c r="F8" s="108"/>
      <c r="G8" s="108"/>
      <c r="H8" s="108"/>
      <c r="I8" s="108"/>
      <c r="J8" s="108"/>
      <c r="K8" s="109"/>
      <c r="L8" s="31">
        <v>16</v>
      </c>
      <c r="M8" s="44">
        <f t="shared" si="0"/>
        <v>5.5425625842204074</v>
      </c>
      <c r="N8" s="108"/>
      <c r="O8"/>
      <c r="P8" s="7">
        <f t="shared" si="1"/>
        <v>15.91566265060241</v>
      </c>
      <c r="Q8" s="6"/>
      <c r="R8" s="6"/>
      <c r="S8" s="6"/>
      <c r="T8" s="6">
        <f t="shared" si="2"/>
        <v>8.4337349397589634E-2</v>
      </c>
      <c r="U8" s="6"/>
      <c r="V8" s="6"/>
      <c r="W8" s="6"/>
      <c r="X8" s="3">
        <f t="shared" si="3"/>
        <v>1.875</v>
      </c>
      <c r="Y8" s="3">
        <f t="shared" si="4"/>
        <v>23.04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</row>
    <row r="9" spans="1:221" s="3" customFormat="1">
      <c r="A9" s="31">
        <v>5</v>
      </c>
      <c r="B9" s="108" t="s">
        <v>104</v>
      </c>
      <c r="C9" s="108"/>
      <c r="D9" s="108"/>
      <c r="E9" s="108"/>
      <c r="F9" s="108"/>
      <c r="G9" s="108"/>
      <c r="H9" s="108"/>
      <c r="I9" s="108"/>
      <c r="J9" s="108"/>
      <c r="K9" s="109"/>
      <c r="L9" s="31">
        <v>16</v>
      </c>
      <c r="M9" s="44">
        <f t="shared" si="0"/>
        <v>5.5425625842204074</v>
      </c>
      <c r="N9" s="108"/>
      <c r="O9"/>
      <c r="P9" s="7">
        <f t="shared" si="1"/>
        <v>15.91566265060241</v>
      </c>
      <c r="Q9" s="6"/>
      <c r="R9" s="6"/>
      <c r="S9" s="6"/>
      <c r="T9" s="6">
        <f t="shared" si="2"/>
        <v>8.4337349397589634E-2</v>
      </c>
      <c r="U9" s="6"/>
      <c r="V9" s="6"/>
      <c r="W9" s="6"/>
      <c r="X9" s="3">
        <f t="shared" si="3"/>
        <v>1.875</v>
      </c>
      <c r="Y9" s="3">
        <f t="shared" si="4"/>
        <v>23.04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</row>
    <row r="10" spans="1:221" s="3" customFormat="1">
      <c r="A10" s="31">
        <v>6</v>
      </c>
      <c r="B10" s="108" t="s">
        <v>105</v>
      </c>
      <c r="C10" s="108"/>
      <c r="D10" s="108"/>
      <c r="E10" s="108"/>
      <c r="F10" s="108"/>
      <c r="G10" s="108"/>
      <c r="H10" s="108"/>
      <c r="I10" s="108"/>
      <c r="J10" s="108"/>
      <c r="K10" s="109"/>
      <c r="L10" s="31">
        <v>14</v>
      </c>
      <c r="M10" s="44">
        <f t="shared" ref="M10:M19" si="5">SQRT(((L10*0.3/L10)^2)/3)*2*L10</f>
        <v>4.8497422611928567</v>
      </c>
      <c r="N10" s="108"/>
      <c r="O10"/>
      <c r="P10" s="7">
        <f t="shared" si="1"/>
        <v>15.91566265060241</v>
      </c>
      <c r="Q10" s="6"/>
      <c r="R10" s="6"/>
      <c r="S10" s="6"/>
      <c r="T10" s="6">
        <f t="shared" ref="T10:T19" si="6">L10-P10</f>
        <v>-1.9156626506024104</v>
      </c>
      <c r="U10" s="6"/>
      <c r="V10" s="6"/>
      <c r="W10" s="6"/>
      <c r="X10" s="3">
        <f t="shared" ref="X10:X19" si="7">30/L10</f>
        <v>2.1428571428571428</v>
      </c>
      <c r="Y10" s="3">
        <f t="shared" ref="Y10:Y19" si="8">(0.3*L10)^2</f>
        <v>17.64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</row>
    <row r="11" spans="1:221" s="3" customFormat="1">
      <c r="A11" s="31">
        <v>7</v>
      </c>
      <c r="B11" s="108" t="s">
        <v>106</v>
      </c>
      <c r="C11" s="108"/>
      <c r="D11" s="108"/>
      <c r="E11" s="108"/>
      <c r="F11" s="108"/>
      <c r="G11" s="108"/>
      <c r="H11" s="108"/>
      <c r="I11" s="108"/>
      <c r="J11" s="108"/>
      <c r="K11" s="109"/>
      <c r="L11" s="31">
        <v>16</v>
      </c>
      <c r="M11" s="44">
        <f t="shared" si="5"/>
        <v>5.5425625842204074</v>
      </c>
      <c r="N11" s="108"/>
      <c r="O11"/>
      <c r="P11" s="7">
        <f t="shared" si="1"/>
        <v>15.91566265060241</v>
      </c>
      <c r="Q11" s="6"/>
      <c r="R11" s="6"/>
      <c r="S11" s="6"/>
      <c r="T11" s="6">
        <f t="shared" si="6"/>
        <v>8.4337349397589634E-2</v>
      </c>
      <c r="U11" s="6"/>
      <c r="V11" s="6"/>
      <c r="W11" s="6"/>
      <c r="X11" s="3">
        <f t="shared" si="7"/>
        <v>1.875</v>
      </c>
      <c r="Y11" s="3">
        <f t="shared" si="8"/>
        <v>23.04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</row>
    <row r="12" spans="1:221" s="3" customFormat="1">
      <c r="A12" s="31">
        <v>8</v>
      </c>
      <c r="B12" s="108" t="s">
        <v>107</v>
      </c>
      <c r="C12" s="108"/>
      <c r="D12" s="108"/>
      <c r="E12" s="108"/>
      <c r="F12" s="108"/>
      <c r="G12" s="108"/>
      <c r="H12" s="108"/>
      <c r="I12" s="108"/>
      <c r="J12" s="108"/>
      <c r="K12" s="109"/>
      <c r="L12" s="31">
        <v>15</v>
      </c>
      <c r="M12" s="44">
        <f t="shared" si="5"/>
        <v>5.196152422706632</v>
      </c>
      <c r="N12" s="108"/>
      <c r="O12"/>
      <c r="P12" s="7">
        <f t="shared" si="1"/>
        <v>15.91566265060241</v>
      </c>
      <c r="Q12" s="6"/>
      <c r="R12" s="6"/>
      <c r="S12" s="6"/>
      <c r="T12" s="6">
        <f t="shared" si="6"/>
        <v>-0.91566265060241037</v>
      </c>
      <c r="U12" s="6"/>
      <c r="V12" s="6"/>
      <c r="W12" s="6"/>
      <c r="X12" s="3">
        <f t="shared" si="7"/>
        <v>2</v>
      </c>
      <c r="Y12" s="3">
        <f t="shared" si="8"/>
        <v>20.25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</row>
    <row r="13" spans="1:221" s="3" customFormat="1">
      <c r="A13" s="31">
        <v>9</v>
      </c>
      <c r="B13" s="108" t="s">
        <v>108</v>
      </c>
      <c r="C13" s="108"/>
      <c r="D13" s="108"/>
      <c r="E13" s="108"/>
      <c r="F13" s="108"/>
      <c r="G13" s="108"/>
      <c r="H13" s="108"/>
      <c r="I13" s="108"/>
      <c r="J13" s="108"/>
      <c r="K13" s="109"/>
      <c r="L13" s="31">
        <v>16</v>
      </c>
      <c r="M13" s="44">
        <f t="shared" si="5"/>
        <v>5.5425625842204074</v>
      </c>
      <c r="N13" s="108"/>
      <c r="O13"/>
      <c r="P13" s="7">
        <f t="shared" si="1"/>
        <v>15.91566265060241</v>
      </c>
      <c r="Q13" s="6"/>
      <c r="R13" s="6"/>
      <c r="S13" s="6"/>
      <c r="T13" s="6">
        <f t="shared" si="6"/>
        <v>8.4337349397589634E-2</v>
      </c>
      <c r="U13" s="6"/>
      <c r="V13" s="6"/>
      <c r="W13" s="6"/>
      <c r="X13" s="3">
        <f t="shared" si="7"/>
        <v>1.875</v>
      </c>
      <c r="Y13" s="3">
        <f t="shared" si="8"/>
        <v>23.04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</row>
    <row r="14" spans="1:221" s="3" customFormat="1">
      <c r="A14" s="31">
        <v>10</v>
      </c>
      <c r="B14" s="108" t="s">
        <v>109</v>
      </c>
      <c r="C14" s="108"/>
      <c r="D14" s="108"/>
      <c r="E14" s="108"/>
      <c r="F14" s="108"/>
      <c r="G14" s="108"/>
      <c r="H14" s="108"/>
      <c r="I14" s="108"/>
      <c r="J14" s="108"/>
      <c r="K14" s="109"/>
      <c r="L14" s="31">
        <v>15</v>
      </c>
      <c r="M14" s="44">
        <f t="shared" si="5"/>
        <v>5.196152422706632</v>
      </c>
      <c r="N14" s="108"/>
      <c r="O14"/>
      <c r="P14" s="7">
        <f t="shared" si="1"/>
        <v>15.91566265060241</v>
      </c>
      <c r="Q14" s="6"/>
      <c r="R14" s="6"/>
      <c r="S14" s="6"/>
      <c r="T14" s="6">
        <f t="shared" si="6"/>
        <v>-0.91566265060241037</v>
      </c>
      <c r="U14" s="6"/>
      <c r="V14" s="6"/>
      <c r="W14" s="6"/>
      <c r="X14" s="3">
        <f t="shared" si="7"/>
        <v>2</v>
      </c>
      <c r="Y14" s="3">
        <f t="shared" si="8"/>
        <v>20.25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</row>
    <row r="15" spans="1:221" s="3" customFormat="1">
      <c r="A15" s="31">
        <v>11</v>
      </c>
      <c r="B15" s="108" t="s">
        <v>137</v>
      </c>
      <c r="C15" s="108"/>
      <c r="D15" s="108"/>
      <c r="E15" s="108"/>
      <c r="F15" s="108"/>
      <c r="G15" s="108"/>
      <c r="H15" s="108"/>
      <c r="I15" s="108"/>
      <c r="J15" s="108"/>
      <c r="K15" s="109"/>
      <c r="L15" s="31">
        <v>13</v>
      </c>
      <c r="M15" s="44">
        <f t="shared" si="5"/>
        <v>4.5033320996790813</v>
      </c>
      <c r="N15" s="108"/>
      <c r="O15"/>
      <c r="P15" s="7">
        <f t="shared" si="1"/>
        <v>15.91566265060241</v>
      </c>
      <c r="Q15" s="6"/>
      <c r="R15" s="6"/>
      <c r="S15" s="6"/>
      <c r="T15" s="6">
        <f t="shared" si="6"/>
        <v>-2.9156626506024104</v>
      </c>
      <c r="U15" s="6"/>
      <c r="V15" s="6"/>
      <c r="W15" s="6"/>
      <c r="X15" s="3">
        <f t="shared" si="7"/>
        <v>2.3076923076923075</v>
      </c>
      <c r="Y15" s="3">
        <f t="shared" si="8"/>
        <v>15.209999999999999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</row>
    <row r="16" spans="1:221" s="3" customFormat="1">
      <c r="A16" s="31">
        <v>12</v>
      </c>
      <c r="B16" s="108" t="s">
        <v>138</v>
      </c>
      <c r="C16" s="108"/>
      <c r="D16" s="108"/>
      <c r="E16" s="108"/>
      <c r="F16" s="108"/>
      <c r="G16" s="108"/>
      <c r="H16" s="108"/>
      <c r="I16" s="108"/>
      <c r="J16" s="108"/>
      <c r="K16" s="109"/>
      <c r="L16" s="31">
        <v>14</v>
      </c>
      <c r="M16" s="44">
        <f t="shared" si="5"/>
        <v>4.8497422611928567</v>
      </c>
      <c r="N16" s="108"/>
      <c r="O16"/>
      <c r="P16" s="7">
        <f t="shared" si="1"/>
        <v>15.91566265060241</v>
      </c>
      <c r="Q16" s="6"/>
      <c r="R16" s="6"/>
      <c r="S16" s="6"/>
      <c r="T16" s="6">
        <f t="shared" si="6"/>
        <v>-1.9156626506024104</v>
      </c>
      <c r="U16" s="6"/>
      <c r="V16" s="6"/>
      <c r="W16" s="6"/>
      <c r="X16" s="3">
        <f t="shared" si="7"/>
        <v>2.1428571428571428</v>
      </c>
      <c r="Y16" s="3">
        <f t="shared" si="8"/>
        <v>17.64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</row>
    <row r="17" spans="1:221" s="3" customFormat="1">
      <c r="A17" s="31">
        <v>13</v>
      </c>
      <c r="B17" s="108" t="s">
        <v>139</v>
      </c>
      <c r="C17" s="108"/>
      <c r="D17" s="108"/>
      <c r="E17" s="108"/>
      <c r="F17" s="108"/>
      <c r="G17" s="108"/>
      <c r="H17" s="108"/>
      <c r="I17" s="108"/>
      <c r="J17" s="108"/>
      <c r="K17" s="109"/>
      <c r="L17" s="31">
        <v>16</v>
      </c>
      <c r="M17" s="44">
        <f t="shared" si="5"/>
        <v>5.5425625842204074</v>
      </c>
      <c r="N17" s="108"/>
      <c r="O17"/>
      <c r="P17" s="7">
        <f t="shared" si="1"/>
        <v>15.91566265060241</v>
      </c>
      <c r="Q17" s="6"/>
      <c r="R17" s="6"/>
      <c r="S17" s="6"/>
      <c r="T17" s="6">
        <f t="shared" si="6"/>
        <v>8.4337349397589634E-2</v>
      </c>
      <c r="U17" s="6"/>
      <c r="V17" s="6"/>
      <c r="W17" s="6"/>
      <c r="X17" s="3">
        <f t="shared" si="7"/>
        <v>1.875</v>
      </c>
      <c r="Y17" s="3">
        <f t="shared" si="8"/>
        <v>23.04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</row>
    <row r="18" spans="1:221" s="3" customFormat="1">
      <c r="A18" s="31">
        <v>14</v>
      </c>
      <c r="B18" s="108" t="s">
        <v>140</v>
      </c>
      <c r="C18" s="108"/>
      <c r="D18" s="108"/>
      <c r="E18" s="108"/>
      <c r="F18" s="108"/>
      <c r="G18" s="108"/>
      <c r="H18" s="108"/>
      <c r="I18" s="108"/>
      <c r="J18" s="108"/>
      <c r="K18" s="109"/>
      <c r="L18" s="31">
        <v>16</v>
      </c>
      <c r="M18" s="44">
        <f t="shared" si="5"/>
        <v>5.5425625842204074</v>
      </c>
      <c r="N18" s="108"/>
      <c r="O18"/>
      <c r="P18" s="7">
        <f t="shared" si="1"/>
        <v>15.91566265060241</v>
      </c>
      <c r="Q18" s="6"/>
      <c r="R18" s="6"/>
      <c r="S18" s="6"/>
      <c r="T18" s="6">
        <f t="shared" si="6"/>
        <v>8.4337349397589634E-2</v>
      </c>
      <c r="U18" s="6"/>
      <c r="V18" s="6"/>
      <c r="W18" s="6"/>
      <c r="X18" s="3">
        <f t="shared" si="7"/>
        <v>1.875</v>
      </c>
      <c r="Y18" s="3">
        <f t="shared" si="8"/>
        <v>23.04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</row>
    <row r="19" spans="1:221" s="3" customFormat="1">
      <c r="A19" s="31">
        <v>15</v>
      </c>
      <c r="B19" s="108" t="s">
        <v>141</v>
      </c>
      <c r="C19" s="108"/>
      <c r="D19" s="108"/>
      <c r="E19" s="108"/>
      <c r="F19" s="108"/>
      <c r="G19" s="108"/>
      <c r="H19" s="108"/>
      <c r="I19" s="108"/>
      <c r="J19" s="108"/>
      <c r="K19" s="109"/>
      <c r="L19" s="31">
        <v>17</v>
      </c>
      <c r="M19" s="44">
        <f t="shared" si="5"/>
        <v>5.8889727457341827</v>
      </c>
      <c r="N19" s="108"/>
      <c r="O19"/>
      <c r="P19" s="7">
        <f t="shared" si="1"/>
        <v>15.91566265060241</v>
      </c>
      <c r="Q19" s="6"/>
      <c r="R19" s="6"/>
      <c r="S19" s="6"/>
      <c r="T19" s="6">
        <f t="shared" si="6"/>
        <v>1.0843373493975896</v>
      </c>
      <c r="U19" s="6"/>
      <c r="V19" s="6"/>
      <c r="W19" s="6"/>
      <c r="X19" s="3">
        <f t="shared" si="7"/>
        <v>1.7647058823529411</v>
      </c>
      <c r="Y19" s="3">
        <f t="shared" si="8"/>
        <v>26.009999999999998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</row>
    <row r="20" spans="1:221" s="3" customFormat="1">
      <c r="A20" s="31">
        <v>16</v>
      </c>
      <c r="B20" s="108" t="s">
        <v>142</v>
      </c>
      <c r="C20" s="108"/>
      <c r="D20" s="108"/>
      <c r="E20" s="108"/>
      <c r="F20" s="108"/>
      <c r="G20" s="108"/>
      <c r="H20" s="108"/>
      <c r="I20" s="108"/>
      <c r="J20" s="108"/>
      <c r="K20" s="109"/>
      <c r="L20" s="31">
        <v>14</v>
      </c>
      <c r="M20" s="44">
        <f t="shared" si="0"/>
        <v>4.8497422611928567</v>
      </c>
      <c r="N20" s="108"/>
      <c r="O20"/>
      <c r="P20" s="7">
        <f t="shared" si="1"/>
        <v>15.91566265060241</v>
      </c>
      <c r="Q20" s="6"/>
      <c r="R20" s="6"/>
      <c r="S20" s="6"/>
      <c r="T20" s="6">
        <f t="shared" si="2"/>
        <v>-1.9156626506024104</v>
      </c>
      <c r="U20" s="6"/>
      <c r="V20" s="6"/>
      <c r="W20" s="6"/>
      <c r="X20" s="3">
        <f t="shared" si="3"/>
        <v>2.1428571428571428</v>
      </c>
      <c r="Y20" s="3">
        <f t="shared" si="4"/>
        <v>17.64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</row>
    <row r="21" spans="1:221" s="3" customFormat="1">
      <c r="A21" s="31">
        <v>17</v>
      </c>
      <c r="B21" s="108" t="s">
        <v>166</v>
      </c>
      <c r="C21" s="108"/>
      <c r="D21" s="108"/>
      <c r="E21" s="108"/>
      <c r="F21" s="108"/>
      <c r="G21" s="108"/>
      <c r="H21" s="108"/>
      <c r="I21" s="108"/>
      <c r="J21" s="108"/>
      <c r="K21" s="109"/>
      <c r="L21" s="31">
        <v>16</v>
      </c>
      <c r="M21" s="44">
        <f t="shared" si="0"/>
        <v>5.5425625842204074</v>
      </c>
      <c r="N21" s="108"/>
      <c r="O21"/>
      <c r="P21" s="7">
        <f t="shared" si="1"/>
        <v>15.91566265060241</v>
      </c>
      <c r="Q21" s="6"/>
      <c r="R21" s="6"/>
      <c r="S21" s="6"/>
      <c r="T21" s="6">
        <f t="shared" si="2"/>
        <v>8.4337349397589634E-2</v>
      </c>
      <c r="U21" s="6"/>
      <c r="V21" s="6"/>
      <c r="W21" s="6"/>
      <c r="X21" s="3">
        <f t="shared" si="3"/>
        <v>1.875</v>
      </c>
      <c r="Y21" s="3">
        <f t="shared" si="4"/>
        <v>23.04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</row>
    <row r="22" spans="1:221" s="3" customFormat="1">
      <c r="A22" s="31">
        <v>18</v>
      </c>
      <c r="B22" s="108" t="s">
        <v>167</v>
      </c>
      <c r="C22" s="108"/>
      <c r="D22" s="108"/>
      <c r="E22" s="108"/>
      <c r="F22" s="108"/>
      <c r="G22" s="108"/>
      <c r="H22" s="108"/>
      <c r="I22" s="108"/>
      <c r="J22" s="108"/>
      <c r="K22" s="109"/>
      <c r="L22" s="31">
        <v>18</v>
      </c>
      <c r="M22" s="44">
        <f t="shared" si="0"/>
        <v>6.2353829072479581</v>
      </c>
      <c r="N22" s="108"/>
      <c r="O22"/>
      <c r="P22" s="7">
        <f t="shared" si="1"/>
        <v>15.91566265060241</v>
      </c>
      <c r="Q22" s="6"/>
      <c r="R22" s="6"/>
      <c r="S22" s="6"/>
      <c r="T22" s="6">
        <f t="shared" si="2"/>
        <v>2.0843373493975896</v>
      </c>
      <c r="U22" s="6"/>
      <c r="V22" s="6"/>
      <c r="W22" s="6"/>
      <c r="X22" s="3">
        <f t="shared" si="3"/>
        <v>1.6666666666666667</v>
      </c>
      <c r="Y22" s="3">
        <f t="shared" si="4"/>
        <v>29.159999999999993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</row>
    <row r="23" spans="1:221" s="3" customFormat="1">
      <c r="A23" s="31">
        <v>19</v>
      </c>
      <c r="B23" s="108" t="s">
        <v>230</v>
      </c>
      <c r="C23" s="108"/>
      <c r="D23" s="108"/>
      <c r="E23" s="108"/>
      <c r="F23" s="108"/>
      <c r="G23" s="108"/>
      <c r="H23" s="108"/>
      <c r="I23" s="108"/>
      <c r="J23" s="108"/>
      <c r="K23" s="109"/>
      <c r="L23" s="31">
        <v>16</v>
      </c>
      <c r="M23" s="44">
        <f t="shared" si="0"/>
        <v>5.5425625842204074</v>
      </c>
      <c r="N23" s="108"/>
      <c r="O23"/>
      <c r="P23" s="7">
        <f t="shared" si="1"/>
        <v>15.91566265060241</v>
      </c>
      <c r="Q23" s="6"/>
      <c r="R23" s="6"/>
      <c r="S23" s="6"/>
      <c r="T23" s="6">
        <f t="shared" si="2"/>
        <v>8.4337349397589634E-2</v>
      </c>
      <c r="U23" s="6"/>
      <c r="V23" s="6"/>
      <c r="W23" s="6"/>
      <c r="X23" s="3">
        <f t="shared" si="3"/>
        <v>1.875</v>
      </c>
      <c r="Y23" s="3">
        <f t="shared" si="4"/>
        <v>23.04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</row>
    <row r="24" spans="1:221" s="3" customFormat="1">
      <c r="A24" s="31">
        <v>20</v>
      </c>
      <c r="B24" s="108" t="s">
        <v>231</v>
      </c>
      <c r="C24" s="108"/>
      <c r="D24" s="108"/>
      <c r="E24" s="108"/>
      <c r="F24" s="108"/>
      <c r="G24" s="108"/>
      <c r="H24" s="108"/>
      <c r="I24" s="108"/>
      <c r="J24" s="108"/>
      <c r="K24" s="109"/>
      <c r="L24" s="31">
        <v>18</v>
      </c>
      <c r="M24" s="44">
        <f t="shared" si="0"/>
        <v>6.2353829072479581</v>
      </c>
      <c r="N24" s="108"/>
      <c r="O24"/>
      <c r="P24" s="7">
        <f t="shared" si="1"/>
        <v>15.91566265060241</v>
      </c>
      <c r="Q24" s="6"/>
      <c r="R24" s="6"/>
      <c r="S24" s="6"/>
      <c r="T24" s="6">
        <f t="shared" si="2"/>
        <v>2.0843373493975896</v>
      </c>
      <c r="U24" s="6"/>
      <c r="V24" s="6"/>
      <c r="W24" s="6"/>
      <c r="X24" s="3">
        <f t="shared" si="3"/>
        <v>1.6666666666666667</v>
      </c>
      <c r="Y24" s="3">
        <f t="shared" si="4"/>
        <v>29.159999999999993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</row>
    <row r="25" spans="1:221" s="3" customFormat="1">
      <c r="A25" s="31">
        <v>21</v>
      </c>
      <c r="B25" s="108" t="s">
        <v>232</v>
      </c>
      <c r="C25" s="108"/>
      <c r="D25" s="108"/>
      <c r="E25" s="108"/>
      <c r="F25" s="108"/>
      <c r="G25" s="108"/>
      <c r="H25" s="108"/>
      <c r="I25" s="108"/>
      <c r="J25" s="108"/>
      <c r="K25" s="110">
        <v>46005</v>
      </c>
      <c r="L25" s="31">
        <v>18</v>
      </c>
      <c r="M25" s="44">
        <f t="shared" si="0"/>
        <v>6.2353829072479581</v>
      </c>
      <c r="N25" s="108"/>
      <c r="O25"/>
      <c r="P25" s="7">
        <f t="shared" si="1"/>
        <v>15.91566265060241</v>
      </c>
      <c r="Q25" s="6"/>
      <c r="R25" s="6"/>
      <c r="S25" s="6"/>
      <c r="T25" s="6">
        <f t="shared" si="2"/>
        <v>2.0843373493975896</v>
      </c>
      <c r="U25" s="6"/>
      <c r="V25" s="6"/>
      <c r="W25" s="6"/>
      <c r="X25" s="3">
        <f t="shared" si="3"/>
        <v>1.6666666666666667</v>
      </c>
      <c r="Y25" s="3">
        <f t="shared" si="4"/>
        <v>29.159999999999993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</row>
    <row r="26" spans="1:221" s="3" customFormat="1">
      <c r="A26" s="31">
        <v>22</v>
      </c>
      <c r="B26" s="108" t="s">
        <v>233</v>
      </c>
      <c r="C26" s="108"/>
      <c r="D26" s="108"/>
      <c r="E26" s="108"/>
      <c r="F26" s="108"/>
      <c r="G26" s="108"/>
      <c r="H26" s="108"/>
      <c r="I26" s="108"/>
      <c r="J26" s="108"/>
      <c r="K26" s="111"/>
      <c r="L26" s="31">
        <v>16</v>
      </c>
      <c r="M26" s="44">
        <f t="shared" si="0"/>
        <v>5.5425625842204074</v>
      </c>
      <c r="N26" s="108"/>
      <c r="O26"/>
      <c r="P26" s="7">
        <f t="shared" si="1"/>
        <v>15.91566265060241</v>
      </c>
      <c r="Q26" s="6"/>
      <c r="R26" s="6"/>
      <c r="S26" s="6"/>
      <c r="T26" s="6">
        <f t="shared" si="2"/>
        <v>8.4337349397589634E-2</v>
      </c>
      <c r="U26" s="6"/>
      <c r="V26" s="6"/>
      <c r="W26" s="6"/>
      <c r="X26" s="3">
        <f t="shared" si="3"/>
        <v>1.875</v>
      </c>
      <c r="Y26" s="3">
        <f t="shared" si="4"/>
        <v>23.04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</row>
    <row r="27" spans="1:221" s="3" customFormat="1">
      <c r="A27" s="31">
        <v>23</v>
      </c>
      <c r="B27" s="108" t="s">
        <v>234</v>
      </c>
      <c r="C27" s="108"/>
      <c r="D27" s="108"/>
      <c r="E27" s="108"/>
      <c r="F27" s="108"/>
      <c r="G27" s="108"/>
      <c r="H27" s="108"/>
      <c r="I27" s="108"/>
      <c r="J27" s="108"/>
      <c r="K27" s="111"/>
      <c r="L27" s="31">
        <v>17</v>
      </c>
      <c r="M27" s="44">
        <f t="shared" si="0"/>
        <v>5.8889727457341827</v>
      </c>
      <c r="N27" s="108"/>
      <c r="O27"/>
      <c r="P27" s="7">
        <f t="shared" si="1"/>
        <v>15.91566265060241</v>
      </c>
      <c r="Q27" s="6"/>
      <c r="R27" s="6"/>
      <c r="S27" s="6"/>
      <c r="T27" s="6">
        <f t="shared" si="2"/>
        <v>1.0843373493975896</v>
      </c>
      <c r="U27" s="6"/>
      <c r="V27" s="6"/>
      <c r="W27" s="6"/>
      <c r="X27" s="3">
        <f t="shared" si="3"/>
        <v>1.7647058823529411</v>
      </c>
      <c r="Y27" s="3">
        <f t="shared" si="4"/>
        <v>26.009999999999998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</row>
    <row r="28" spans="1:221" s="3" customFormat="1">
      <c r="A28" s="31">
        <v>24</v>
      </c>
      <c r="B28" s="108" t="s">
        <v>235</v>
      </c>
      <c r="C28" s="108"/>
      <c r="D28" s="108"/>
      <c r="E28" s="108"/>
      <c r="F28" s="108"/>
      <c r="G28" s="108"/>
      <c r="H28" s="108"/>
      <c r="I28" s="108"/>
      <c r="J28" s="108"/>
      <c r="K28" s="111"/>
      <c r="L28" s="31">
        <v>16</v>
      </c>
      <c r="M28" s="44">
        <f t="shared" si="0"/>
        <v>5.5425625842204074</v>
      </c>
      <c r="N28" s="108"/>
      <c r="O28"/>
      <c r="P28" s="7">
        <f t="shared" si="1"/>
        <v>15.91566265060241</v>
      </c>
      <c r="Q28" s="6"/>
      <c r="R28" s="6"/>
      <c r="S28" s="6"/>
      <c r="T28" s="6">
        <f t="shared" si="2"/>
        <v>8.4337349397589634E-2</v>
      </c>
      <c r="U28" s="6"/>
      <c r="V28" s="6"/>
      <c r="W28" s="6"/>
      <c r="X28" s="3">
        <f t="shared" si="3"/>
        <v>1.875</v>
      </c>
      <c r="Y28" s="3">
        <f t="shared" si="4"/>
        <v>23.04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</row>
    <row r="29" spans="1:221" s="3" customFormat="1">
      <c r="A29" s="31">
        <v>25</v>
      </c>
      <c r="B29" s="108" t="s">
        <v>236</v>
      </c>
      <c r="C29" s="108"/>
      <c r="D29" s="108"/>
      <c r="E29" s="108"/>
      <c r="F29" s="108"/>
      <c r="G29" s="108"/>
      <c r="H29" s="108"/>
      <c r="I29" s="108"/>
      <c r="J29" s="108"/>
      <c r="K29" s="111"/>
      <c r="L29" s="31">
        <v>15</v>
      </c>
      <c r="M29" s="44">
        <f t="shared" si="0"/>
        <v>5.196152422706632</v>
      </c>
      <c r="N29" s="108"/>
      <c r="O29"/>
      <c r="P29" s="7">
        <f t="shared" si="1"/>
        <v>15.91566265060241</v>
      </c>
      <c r="Q29" s="6"/>
      <c r="R29" s="6"/>
      <c r="S29" s="6"/>
      <c r="T29" s="6">
        <f t="shared" si="2"/>
        <v>-0.91566265060241037</v>
      </c>
      <c r="U29" s="6"/>
      <c r="V29" s="6"/>
      <c r="W29" s="6"/>
      <c r="X29" s="3">
        <f t="shared" si="3"/>
        <v>2</v>
      </c>
      <c r="Y29" s="3">
        <f t="shared" si="4"/>
        <v>20.25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</row>
    <row r="30" spans="1:221" s="3" customFormat="1">
      <c r="A30" s="31">
        <v>26</v>
      </c>
      <c r="B30" s="108" t="s">
        <v>237</v>
      </c>
      <c r="C30" s="108"/>
      <c r="D30" s="108"/>
      <c r="E30" s="108"/>
      <c r="F30" s="108"/>
      <c r="G30" s="108"/>
      <c r="H30" s="108"/>
      <c r="I30" s="108"/>
      <c r="J30" s="108"/>
      <c r="K30" s="111"/>
      <c r="L30" s="31">
        <v>19</v>
      </c>
      <c r="M30" s="44">
        <f t="shared" ref="M30:M39" si="9">SQRT(((L30*0.3/L30)^2)/3)*2*L30</f>
        <v>6.5817930687617334</v>
      </c>
      <c r="N30" s="108"/>
      <c r="O30"/>
      <c r="P30" s="7">
        <f t="shared" si="1"/>
        <v>15.91566265060241</v>
      </c>
      <c r="Q30" s="6"/>
      <c r="R30" s="6"/>
      <c r="S30" s="6"/>
      <c r="T30" s="6">
        <f t="shared" ref="T30:T39" si="10">L30-P30</f>
        <v>3.0843373493975896</v>
      </c>
      <c r="U30" s="6"/>
      <c r="V30" s="6"/>
      <c r="W30" s="6"/>
      <c r="X30" s="3">
        <f t="shared" ref="X30:X39" si="11">30/L30</f>
        <v>1.5789473684210527</v>
      </c>
      <c r="Y30" s="3">
        <f t="shared" ref="Y30:Y39" si="12">(0.3*L30)^2</f>
        <v>32.49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</row>
    <row r="31" spans="1:221" s="3" customFormat="1">
      <c r="A31" s="31">
        <v>27</v>
      </c>
      <c r="B31" s="108" t="s">
        <v>238</v>
      </c>
      <c r="C31" s="108"/>
      <c r="D31" s="108"/>
      <c r="E31" s="108"/>
      <c r="F31" s="108"/>
      <c r="G31" s="108"/>
      <c r="H31" s="108"/>
      <c r="I31" s="108"/>
      <c r="J31" s="108"/>
      <c r="K31" s="112"/>
      <c r="L31" s="31">
        <v>16</v>
      </c>
      <c r="M31" s="44">
        <f t="shared" si="9"/>
        <v>5.5425625842204074</v>
      </c>
      <c r="N31" s="108"/>
      <c r="O31"/>
      <c r="P31" s="7">
        <f t="shared" si="1"/>
        <v>15.91566265060241</v>
      </c>
      <c r="Q31" s="6"/>
      <c r="R31" s="6"/>
      <c r="S31" s="6"/>
      <c r="T31" s="6">
        <f t="shared" si="10"/>
        <v>8.4337349397589634E-2</v>
      </c>
      <c r="U31" s="6"/>
      <c r="V31" s="6"/>
      <c r="W31" s="6"/>
      <c r="X31" s="3">
        <f t="shared" si="11"/>
        <v>1.875</v>
      </c>
      <c r="Y31" s="3">
        <f t="shared" si="12"/>
        <v>23.04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</row>
    <row r="32" spans="1:221" s="3" customFormat="1" ht="13.5" customHeight="1">
      <c r="A32" s="31">
        <v>28</v>
      </c>
      <c r="B32" s="108" t="s">
        <v>239</v>
      </c>
      <c r="C32" s="108"/>
      <c r="D32" s="108"/>
      <c r="E32" s="108"/>
      <c r="F32" s="108"/>
      <c r="G32" s="108"/>
      <c r="H32" s="108"/>
      <c r="I32" s="108"/>
      <c r="J32" s="108"/>
      <c r="K32" s="109">
        <v>46005</v>
      </c>
      <c r="L32" s="31">
        <v>14</v>
      </c>
      <c r="M32" s="44">
        <f t="shared" si="9"/>
        <v>4.8497422611928567</v>
      </c>
      <c r="N32" s="108">
        <v>80</v>
      </c>
      <c r="O32"/>
      <c r="P32" s="7">
        <f t="shared" si="1"/>
        <v>15.91566265060241</v>
      </c>
      <c r="Q32" s="6"/>
      <c r="R32" s="6"/>
      <c r="S32" s="6"/>
      <c r="T32" s="6">
        <f t="shared" si="10"/>
        <v>-1.9156626506024104</v>
      </c>
      <c r="U32" s="6"/>
      <c r="V32" s="6"/>
      <c r="W32" s="6"/>
      <c r="X32" s="3">
        <f t="shared" si="11"/>
        <v>2.1428571428571428</v>
      </c>
      <c r="Y32" s="3">
        <f t="shared" si="12"/>
        <v>17.64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</row>
    <row r="33" spans="1:221" s="3" customFormat="1" ht="13.5" customHeight="1">
      <c r="A33" s="31">
        <v>29</v>
      </c>
      <c r="B33" s="108" t="s">
        <v>240</v>
      </c>
      <c r="C33" s="108"/>
      <c r="D33" s="108"/>
      <c r="E33" s="108"/>
      <c r="F33" s="108"/>
      <c r="G33" s="108"/>
      <c r="H33" s="108"/>
      <c r="I33" s="108"/>
      <c r="J33" s="108"/>
      <c r="K33" s="109"/>
      <c r="L33" s="31">
        <v>16</v>
      </c>
      <c r="M33" s="44">
        <f t="shared" si="9"/>
        <v>5.5425625842204074</v>
      </c>
      <c r="N33" s="108"/>
      <c r="O33"/>
      <c r="P33" s="7">
        <f t="shared" si="1"/>
        <v>15.91566265060241</v>
      </c>
      <c r="Q33" s="6"/>
      <c r="R33" s="6"/>
      <c r="S33" s="6"/>
      <c r="T33" s="6">
        <f t="shared" si="10"/>
        <v>8.4337349397589634E-2</v>
      </c>
      <c r="U33" s="6"/>
      <c r="V33" s="6"/>
      <c r="W33" s="6"/>
      <c r="X33" s="3">
        <f t="shared" si="11"/>
        <v>1.875</v>
      </c>
      <c r="Y33" s="3">
        <f t="shared" si="12"/>
        <v>23.04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</row>
    <row r="34" spans="1:221" s="3" customFormat="1" ht="13.5" customHeight="1">
      <c r="A34" s="31">
        <v>30</v>
      </c>
      <c r="B34" s="108" t="s">
        <v>241</v>
      </c>
      <c r="C34" s="108"/>
      <c r="D34" s="108"/>
      <c r="E34" s="108"/>
      <c r="F34" s="108"/>
      <c r="G34" s="108"/>
      <c r="H34" s="108"/>
      <c r="I34" s="108"/>
      <c r="J34" s="108"/>
      <c r="K34" s="109"/>
      <c r="L34" s="31">
        <v>16</v>
      </c>
      <c r="M34" s="44">
        <f t="shared" si="9"/>
        <v>5.5425625842204074</v>
      </c>
      <c r="N34" s="108"/>
      <c r="O34"/>
      <c r="P34" s="7">
        <f t="shared" si="1"/>
        <v>15.91566265060241</v>
      </c>
      <c r="Q34" s="6"/>
      <c r="R34" s="6"/>
      <c r="S34" s="6"/>
      <c r="T34" s="6">
        <f t="shared" si="10"/>
        <v>8.4337349397589634E-2</v>
      </c>
      <c r="U34" s="6"/>
      <c r="V34" s="6"/>
      <c r="W34" s="6"/>
      <c r="X34" s="3">
        <f t="shared" si="11"/>
        <v>1.875</v>
      </c>
      <c r="Y34" s="3">
        <f t="shared" si="12"/>
        <v>23.04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</row>
    <row r="35" spans="1:221" s="3" customFormat="1" ht="13.5" customHeight="1">
      <c r="A35" s="31">
        <v>31</v>
      </c>
      <c r="B35" s="108" t="s">
        <v>242</v>
      </c>
      <c r="C35" s="108"/>
      <c r="D35" s="108"/>
      <c r="E35" s="108"/>
      <c r="F35" s="108"/>
      <c r="G35" s="108"/>
      <c r="H35" s="108"/>
      <c r="I35" s="108"/>
      <c r="J35" s="108"/>
      <c r="K35" s="109"/>
      <c r="L35" s="31">
        <v>16</v>
      </c>
      <c r="M35" s="44">
        <f t="shared" si="9"/>
        <v>5.5425625842204074</v>
      </c>
      <c r="N35" s="108"/>
      <c r="O35"/>
      <c r="P35" s="7">
        <f t="shared" si="1"/>
        <v>15.91566265060241</v>
      </c>
      <c r="Q35" s="6"/>
      <c r="R35" s="6"/>
      <c r="S35" s="6"/>
      <c r="T35" s="6">
        <f t="shared" si="10"/>
        <v>8.4337349397589634E-2</v>
      </c>
      <c r="U35" s="6"/>
      <c r="V35" s="6"/>
      <c r="W35" s="6"/>
      <c r="X35" s="3">
        <f t="shared" si="11"/>
        <v>1.875</v>
      </c>
      <c r="Y35" s="3">
        <f t="shared" si="12"/>
        <v>23.04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</row>
    <row r="36" spans="1:221" s="3" customFormat="1" ht="13.5" customHeight="1">
      <c r="A36" s="31">
        <v>32</v>
      </c>
      <c r="B36" s="108" t="s">
        <v>243</v>
      </c>
      <c r="C36" s="108"/>
      <c r="D36" s="108"/>
      <c r="E36" s="108"/>
      <c r="F36" s="108"/>
      <c r="G36" s="108"/>
      <c r="H36" s="108"/>
      <c r="I36" s="108"/>
      <c r="J36" s="108"/>
      <c r="K36" s="109"/>
      <c r="L36" s="31">
        <v>16</v>
      </c>
      <c r="M36" s="44">
        <f t="shared" si="9"/>
        <v>5.5425625842204074</v>
      </c>
      <c r="N36" s="108"/>
      <c r="O36"/>
      <c r="P36" s="7">
        <f t="shared" si="1"/>
        <v>15.91566265060241</v>
      </c>
      <c r="Q36" s="6"/>
      <c r="R36" s="6"/>
      <c r="S36" s="6"/>
      <c r="T36" s="6">
        <f t="shared" si="10"/>
        <v>8.4337349397589634E-2</v>
      </c>
      <c r="U36" s="6"/>
      <c r="V36" s="6"/>
      <c r="W36" s="6"/>
      <c r="X36" s="3">
        <f t="shared" si="11"/>
        <v>1.875</v>
      </c>
      <c r="Y36" s="3">
        <f t="shared" si="12"/>
        <v>23.04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</row>
    <row r="37" spans="1:221" s="3" customFormat="1" ht="13.5" customHeight="1">
      <c r="A37" s="31">
        <v>33</v>
      </c>
      <c r="B37" s="108" t="s">
        <v>244</v>
      </c>
      <c r="C37" s="108"/>
      <c r="D37" s="108"/>
      <c r="E37" s="108"/>
      <c r="F37" s="108"/>
      <c r="G37" s="108"/>
      <c r="H37" s="108"/>
      <c r="I37" s="108"/>
      <c r="J37" s="108"/>
      <c r="K37" s="109"/>
      <c r="L37" s="31">
        <v>15</v>
      </c>
      <c r="M37" s="44">
        <f t="shared" si="9"/>
        <v>5.196152422706632</v>
      </c>
      <c r="N37" s="108"/>
      <c r="O37"/>
      <c r="P37" s="7">
        <f t="shared" ref="P37:P68" si="13">$L$88</f>
        <v>15.91566265060241</v>
      </c>
      <c r="Q37" s="6"/>
      <c r="R37" s="6"/>
      <c r="S37" s="6"/>
      <c r="T37" s="6">
        <f t="shared" si="10"/>
        <v>-0.91566265060241037</v>
      </c>
      <c r="U37" s="6"/>
      <c r="V37" s="6"/>
      <c r="W37" s="6"/>
      <c r="X37" s="3">
        <f t="shared" si="11"/>
        <v>2</v>
      </c>
      <c r="Y37" s="3">
        <f t="shared" si="12"/>
        <v>20.25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</row>
    <row r="38" spans="1:221" s="3" customFormat="1" ht="13.5" customHeight="1">
      <c r="A38" s="31">
        <v>34</v>
      </c>
      <c r="B38" s="108" t="s">
        <v>245</v>
      </c>
      <c r="C38" s="108"/>
      <c r="D38" s="108"/>
      <c r="E38" s="108"/>
      <c r="F38" s="108"/>
      <c r="G38" s="108"/>
      <c r="H38" s="108"/>
      <c r="I38" s="108"/>
      <c r="J38" s="108"/>
      <c r="K38" s="109"/>
      <c r="L38" s="31">
        <v>16</v>
      </c>
      <c r="M38" s="44">
        <f t="shared" si="9"/>
        <v>5.5425625842204074</v>
      </c>
      <c r="N38" s="108"/>
      <c r="O38"/>
      <c r="P38" s="7">
        <f t="shared" si="13"/>
        <v>15.91566265060241</v>
      </c>
      <c r="Q38" s="6"/>
      <c r="R38" s="6"/>
      <c r="S38" s="6"/>
      <c r="T38" s="6">
        <f t="shared" si="10"/>
        <v>8.4337349397589634E-2</v>
      </c>
      <c r="U38" s="6"/>
      <c r="V38" s="6"/>
      <c r="W38" s="6"/>
      <c r="X38" s="3">
        <f t="shared" si="11"/>
        <v>1.875</v>
      </c>
      <c r="Y38" s="3">
        <f t="shared" si="12"/>
        <v>23.04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</row>
    <row r="39" spans="1:221" s="3" customFormat="1" ht="13.5" customHeight="1">
      <c r="A39" s="31">
        <v>35</v>
      </c>
      <c r="B39" s="108" t="s">
        <v>246</v>
      </c>
      <c r="C39" s="108"/>
      <c r="D39" s="108"/>
      <c r="E39" s="108"/>
      <c r="F39" s="108"/>
      <c r="G39" s="108"/>
      <c r="H39" s="108"/>
      <c r="I39" s="108"/>
      <c r="J39" s="108"/>
      <c r="K39" s="109"/>
      <c r="L39" s="31">
        <v>17</v>
      </c>
      <c r="M39" s="44">
        <f t="shared" si="9"/>
        <v>5.8889727457341827</v>
      </c>
      <c r="N39" s="108"/>
      <c r="O39"/>
      <c r="P39" s="7">
        <f t="shared" si="13"/>
        <v>15.91566265060241</v>
      </c>
      <c r="Q39" s="6"/>
      <c r="R39" s="6"/>
      <c r="S39" s="6"/>
      <c r="T39" s="6">
        <f t="shared" si="10"/>
        <v>1.0843373493975896</v>
      </c>
      <c r="U39" s="6"/>
      <c r="V39" s="6"/>
      <c r="W39" s="6"/>
      <c r="X39" s="3">
        <f t="shared" si="11"/>
        <v>1.7647058823529411</v>
      </c>
      <c r="Y39" s="3">
        <f t="shared" si="12"/>
        <v>26.009999999999998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</row>
    <row r="40" spans="1:221" s="3" customFormat="1" ht="13.5" customHeight="1">
      <c r="A40" s="31">
        <v>36</v>
      </c>
      <c r="B40" s="108" t="s">
        <v>247</v>
      </c>
      <c r="C40" s="108"/>
      <c r="D40" s="108"/>
      <c r="E40" s="108"/>
      <c r="F40" s="108"/>
      <c r="G40" s="108"/>
      <c r="H40" s="108"/>
      <c r="I40" s="108"/>
      <c r="J40" s="108"/>
      <c r="K40" s="109"/>
      <c r="L40" s="31">
        <v>14</v>
      </c>
      <c r="M40" s="44">
        <f t="shared" si="0"/>
        <v>4.8497422611928567</v>
      </c>
      <c r="N40" s="108"/>
      <c r="O40"/>
      <c r="P40" s="7">
        <f t="shared" si="13"/>
        <v>15.91566265060241</v>
      </c>
      <c r="Q40" s="6"/>
      <c r="R40" s="6"/>
      <c r="S40" s="6"/>
      <c r="T40" s="6">
        <f t="shared" si="2"/>
        <v>-1.9156626506024104</v>
      </c>
      <c r="U40" s="6"/>
      <c r="V40" s="6"/>
      <c r="W40" s="6"/>
      <c r="X40" s="3">
        <f t="shared" si="3"/>
        <v>2.1428571428571428</v>
      </c>
      <c r="Y40" s="3">
        <f t="shared" si="4"/>
        <v>17.64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</row>
    <row r="41" spans="1:221" s="3" customFormat="1" ht="13.5" customHeight="1">
      <c r="A41" s="31">
        <v>37</v>
      </c>
      <c r="B41" s="108" t="s">
        <v>248</v>
      </c>
      <c r="C41" s="108"/>
      <c r="D41" s="108"/>
      <c r="E41" s="108"/>
      <c r="F41" s="108"/>
      <c r="G41" s="108"/>
      <c r="H41" s="108"/>
      <c r="I41" s="108"/>
      <c r="J41" s="108"/>
      <c r="K41" s="109"/>
      <c r="L41" s="31">
        <v>16</v>
      </c>
      <c r="M41" s="44">
        <f t="shared" si="0"/>
        <v>5.5425625842204074</v>
      </c>
      <c r="N41" s="108"/>
      <c r="O41"/>
      <c r="P41" s="7">
        <f t="shared" si="13"/>
        <v>15.91566265060241</v>
      </c>
      <c r="Q41" s="6"/>
      <c r="R41" s="6"/>
      <c r="S41" s="6"/>
      <c r="T41" s="6">
        <f t="shared" si="2"/>
        <v>8.4337349397589634E-2</v>
      </c>
      <c r="U41" s="6"/>
      <c r="V41" s="6"/>
      <c r="W41" s="6"/>
      <c r="X41" s="3">
        <f t="shared" si="3"/>
        <v>1.875</v>
      </c>
      <c r="Y41" s="3">
        <f t="shared" si="4"/>
        <v>23.04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</row>
    <row r="42" spans="1:221" s="3" customFormat="1" ht="13.5" customHeight="1">
      <c r="A42" s="31">
        <v>38</v>
      </c>
      <c r="B42" s="108" t="s">
        <v>249</v>
      </c>
      <c r="C42" s="108"/>
      <c r="D42" s="108"/>
      <c r="E42" s="108"/>
      <c r="F42" s="108"/>
      <c r="G42" s="108"/>
      <c r="H42" s="108"/>
      <c r="I42" s="108"/>
      <c r="J42" s="108"/>
      <c r="K42" s="109"/>
      <c r="L42" s="31">
        <v>20</v>
      </c>
      <c r="M42" s="44">
        <f t="shared" si="0"/>
        <v>6.9282032302755088</v>
      </c>
      <c r="N42" s="108"/>
      <c r="O42"/>
      <c r="P42" s="7">
        <f t="shared" si="13"/>
        <v>15.91566265060241</v>
      </c>
      <c r="Q42" s="6"/>
      <c r="R42" s="6"/>
      <c r="S42" s="6"/>
      <c r="T42" s="6">
        <f t="shared" si="2"/>
        <v>4.0843373493975896</v>
      </c>
      <c r="U42" s="6"/>
      <c r="V42" s="6"/>
      <c r="W42" s="6"/>
      <c r="X42" s="3">
        <f t="shared" si="3"/>
        <v>1.5</v>
      </c>
      <c r="Y42" s="3">
        <f t="shared" si="4"/>
        <v>36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</row>
    <row r="43" spans="1:221" s="3" customFormat="1" ht="13.5" customHeight="1">
      <c r="A43" s="31">
        <v>39</v>
      </c>
      <c r="B43" s="108" t="s">
        <v>250</v>
      </c>
      <c r="C43" s="108"/>
      <c r="D43" s="108"/>
      <c r="E43" s="108"/>
      <c r="F43" s="108"/>
      <c r="G43" s="108"/>
      <c r="H43" s="108"/>
      <c r="I43" s="108"/>
      <c r="J43" s="108"/>
      <c r="K43" s="109"/>
      <c r="L43" s="31">
        <v>13</v>
      </c>
      <c r="M43" s="44">
        <f t="shared" si="0"/>
        <v>4.5033320996790813</v>
      </c>
      <c r="N43" s="108"/>
      <c r="O43"/>
      <c r="P43" s="7">
        <f t="shared" si="13"/>
        <v>15.91566265060241</v>
      </c>
      <c r="Q43" s="6"/>
      <c r="R43" s="6"/>
      <c r="S43" s="6"/>
      <c r="T43" s="6">
        <f t="shared" si="2"/>
        <v>-2.9156626506024104</v>
      </c>
      <c r="U43" s="6"/>
      <c r="V43" s="6"/>
      <c r="W43" s="6"/>
      <c r="X43" s="3">
        <f t="shared" si="3"/>
        <v>2.3076923076923075</v>
      </c>
      <c r="Y43" s="3">
        <f t="shared" si="4"/>
        <v>15.209999999999999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</row>
    <row r="44" spans="1:221" s="3" customFormat="1" ht="13.5" customHeight="1">
      <c r="A44" s="31">
        <v>40</v>
      </c>
      <c r="B44" s="108" t="s">
        <v>251</v>
      </c>
      <c r="C44" s="108"/>
      <c r="D44" s="108"/>
      <c r="E44" s="108"/>
      <c r="F44" s="108"/>
      <c r="G44" s="108"/>
      <c r="H44" s="108"/>
      <c r="I44" s="108"/>
      <c r="J44" s="108"/>
      <c r="K44" s="109"/>
      <c r="L44" s="31">
        <v>16</v>
      </c>
      <c r="M44" s="44">
        <f t="shared" si="0"/>
        <v>5.5425625842204074</v>
      </c>
      <c r="N44" s="108"/>
      <c r="O44"/>
      <c r="P44" s="7">
        <f t="shared" si="13"/>
        <v>15.91566265060241</v>
      </c>
      <c r="Q44" s="6"/>
      <c r="R44" s="6"/>
      <c r="S44" s="6"/>
      <c r="T44" s="6">
        <f t="shared" si="2"/>
        <v>8.4337349397589634E-2</v>
      </c>
      <c r="U44" s="6"/>
      <c r="V44" s="6"/>
      <c r="W44" s="6"/>
      <c r="X44" s="3">
        <f t="shared" si="3"/>
        <v>1.875</v>
      </c>
      <c r="Y44" s="3">
        <f t="shared" si="4"/>
        <v>23.04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</row>
    <row r="45" spans="1:221" s="3" customFormat="1" ht="13.5" customHeight="1">
      <c r="A45" s="31">
        <v>41</v>
      </c>
      <c r="B45" s="108" t="s">
        <v>252</v>
      </c>
      <c r="C45" s="108"/>
      <c r="D45" s="108"/>
      <c r="E45" s="108"/>
      <c r="F45" s="108"/>
      <c r="G45" s="108"/>
      <c r="H45" s="108"/>
      <c r="I45" s="108"/>
      <c r="J45" s="108"/>
      <c r="K45" s="109"/>
      <c r="L45" s="31">
        <v>17</v>
      </c>
      <c r="M45" s="44">
        <f t="shared" si="0"/>
        <v>5.8889727457341827</v>
      </c>
      <c r="N45" s="108"/>
      <c r="O45"/>
      <c r="P45" s="7">
        <f t="shared" si="13"/>
        <v>15.91566265060241</v>
      </c>
      <c r="Q45" s="6"/>
      <c r="R45" s="6"/>
      <c r="S45" s="6"/>
      <c r="T45" s="6">
        <f t="shared" si="2"/>
        <v>1.0843373493975896</v>
      </c>
      <c r="U45" s="6"/>
      <c r="V45" s="6"/>
      <c r="W45" s="6"/>
      <c r="X45" s="3">
        <f t="shared" si="3"/>
        <v>1.7647058823529411</v>
      </c>
      <c r="Y45" s="3">
        <f t="shared" si="4"/>
        <v>26.009999999999998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</row>
    <row r="46" spans="1:221" s="3" customFormat="1" ht="13.5" customHeight="1">
      <c r="A46" s="31">
        <v>42</v>
      </c>
      <c r="B46" s="108" t="s">
        <v>253</v>
      </c>
      <c r="C46" s="108"/>
      <c r="D46" s="108"/>
      <c r="E46" s="108"/>
      <c r="F46" s="108"/>
      <c r="G46" s="108"/>
      <c r="H46" s="108"/>
      <c r="I46" s="108"/>
      <c r="J46" s="108"/>
      <c r="K46" s="109"/>
      <c r="L46" s="31">
        <v>15</v>
      </c>
      <c r="M46" s="44">
        <f t="shared" si="0"/>
        <v>5.196152422706632</v>
      </c>
      <c r="N46" s="108"/>
      <c r="O46"/>
      <c r="P46" s="7">
        <f t="shared" si="13"/>
        <v>15.91566265060241</v>
      </c>
      <c r="Q46" s="6"/>
      <c r="R46" s="6"/>
      <c r="S46" s="6"/>
      <c r="T46" s="6">
        <f t="shared" si="2"/>
        <v>-0.91566265060241037</v>
      </c>
      <c r="U46" s="6"/>
      <c r="V46" s="6"/>
      <c r="W46" s="6"/>
      <c r="X46" s="3">
        <f t="shared" si="3"/>
        <v>2</v>
      </c>
      <c r="Y46" s="3">
        <f t="shared" si="4"/>
        <v>20.25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</row>
    <row r="47" spans="1:221" s="3" customFormat="1" ht="13.5" customHeight="1">
      <c r="A47" s="31">
        <v>43</v>
      </c>
      <c r="B47" s="108" t="s">
        <v>254</v>
      </c>
      <c r="C47" s="108"/>
      <c r="D47" s="108"/>
      <c r="E47" s="108"/>
      <c r="F47" s="108"/>
      <c r="G47" s="108"/>
      <c r="H47" s="108"/>
      <c r="I47" s="108"/>
      <c r="J47" s="108"/>
      <c r="K47" s="110">
        <v>46006</v>
      </c>
      <c r="L47" s="31">
        <v>16</v>
      </c>
      <c r="M47" s="44">
        <f t="shared" si="0"/>
        <v>5.5425625842204074</v>
      </c>
      <c r="N47" s="108"/>
      <c r="O47"/>
      <c r="P47" s="7">
        <f t="shared" si="13"/>
        <v>15.91566265060241</v>
      </c>
      <c r="Q47" s="6"/>
      <c r="R47" s="6"/>
      <c r="S47" s="6"/>
      <c r="T47" s="6">
        <f t="shared" si="2"/>
        <v>8.4337349397589634E-2</v>
      </c>
      <c r="U47" s="6"/>
      <c r="V47" s="6"/>
      <c r="W47" s="6"/>
      <c r="X47" s="3">
        <f t="shared" si="3"/>
        <v>1.875</v>
      </c>
      <c r="Y47" s="3">
        <f t="shared" si="4"/>
        <v>23.04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</row>
    <row r="48" spans="1:221" s="3" customFormat="1" ht="13.5" customHeight="1">
      <c r="A48" s="31">
        <v>44</v>
      </c>
      <c r="B48" s="108" t="s">
        <v>255</v>
      </c>
      <c r="C48" s="108"/>
      <c r="D48" s="108"/>
      <c r="E48" s="108"/>
      <c r="F48" s="108"/>
      <c r="G48" s="108"/>
      <c r="H48" s="108"/>
      <c r="I48" s="108"/>
      <c r="J48" s="108"/>
      <c r="K48" s="111"/>
      <c r="L48" s="31">
        <v>20</v>
      </c>
      <c r="M48" s="44">
        <f t="shared" si="0"/>
        <v>6.9282032302755088</v>
      </c>
      <c r="N48" s="108"/>
      <c r="O48"/>
      <c r="P48" s="7">
        <f t="shared" si="13"/>
        <v>15.91566265060241</v>
      </c>
      <c r="Q48" s="6"/>
      <c r="R48" s="6"/>
      <c r="S48" s="6"/>
      <c r="T48" s="6">
        <f t="shared" si="2"/>
        <v>4.0843373493975896</v>
      </c>
      <c r="U48" s="6"/>
      <c r="V48" s="6"/>
      <c r="W48" s="6"/>
      <c r="X48" s="3">
        <f t="shared" si="3"/>
        <v>1.5</v>
      </c>
      <c r="Y48" s="3">
        <f t="shared" si="4"/>
        <v>36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</row>
    <row r="49" spans="1:221" s="3" customFormat="1" ht="13.5" customHeight="1">
      <c r="A49" s="31">
        <v>45</v>
      </c>
      <c r="B49" s="108" t="s">
        <v>256</v>
      </c>
      <c r="C49" s="108"/>
      <c r="D49" s="108"/>
      <c r="E49" s="108"/>
      <c r="F49" s="108"/>
      <c r="G49" s="108"/>
      <c r="H49" s="108"/>
      <c r="I49" s="108"/>
      <c r="J49" s="108"/>
      <c r="K49" s="111"/>
      <c r="L49" s="31">
        <v>16</v>
      </c>
      <c r="M49" s="44">
        <f t="shared" si="0"/>
        <v>5.5425625842204074</v>
      </c>
      <c r="N49" s="108"/>
      <c r="O49"/>
      <c r="P49" s="7">
        <f t="shared" si="13"/>
        <v>15.91566265060241</v>
      </c>
      <c r="Q49" s="6"/>
      <c r="R49" s="6"/>
      <c r="S49" s="6"/>
      <c r="T49" s="6">
        <f t="shared" si="2"/>
        <v>8.4337349397589634E-2</v>
      </c>
      <c r="U49" s="6"/>
      <c r="V49" s="6"/>
      <c r="W49" s="6"/>
      <c r="X49" s="3">
        <f t="shared" si="3"/>
        <v>1.875</v>
      </c>
      <c r="Y49" s="3">
        <f t="shared" si="4"/>
        <v>23.04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</row>
    <row r="50" spans="1:221" s="3" customFormat="1" ht="13.5" customHeight="1">
      <c r="A50" s="31">
        <v>46</v>
      </c>
      <c r="B50" s="108" t="s">
        <v>257</v>
      </c>
      <c r="C50" s="108"/>
      <c r="D50" s="108"/>
      <c r="E50" s="108"/>
      <c r="F50" s="108"/>
      <c r="G50" s="108"/>
      <c r="H50" s="108"/>
      <c r="I50" s="108"/>
      <c r="J50" s="108"/>
      <c r="K50" s="111"/>
      <c r="L50" s="31">
        <v>16</v>
      </c>
      <c r="M50" s="44">
        <f t="shared" ref="M50:M59" si="14">SQRT(((L50*0.3/L50)^2)/3)*2*L50</f>
        <v>5.5425625842204074</v>
      </c>
      <c r="N50" s="108"/>
      <c r="O50"/>
      <c r="P50" s="7">
        <f t="shared" si="13"/>
        <v>15.91566265060241</v>
      </c>
      <c r="Q50" s="6"/>
      <c r="R50" s="6"/>
      <c r="S50" s="6"/>
      <c r="T50" s="6">
        <f t="shared" ref="T50:T59" si="15">L50-P50</f>
        <v>8.4337349397589634E-2</v>
      </c>
      <c r="U50" s="6"/>
      <c r="V50" s="6"/>
      <c r="W50" s="6"/>
      <c r="X50" s="3">
        <f t="shared" ref="X50:X59" si="16">30/L50</f>
        <v>1.875</v>
      </c>
      <c r="Y50" s="3">
        <f t="shared" ref="Y50:Y59" si="17">(0.3*L50)^2</f>
        <v>23.04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</row>
    <row r="51" spans="1:221" s="3" customFormat="1" ht="13.5" customHeight="1">
      <c r="A51" s="31">
        <v>47</v>
      </c>
      <c r="B51" s="108" t="s">
        <v>258</v>
      </c>
      <c r="C51" s="108"/>
      <c r="D51" s="108"/>
      <c r="E51" s="108"/>
      <c r="F51" s="108"/>
      <c r="G51" s="108"/>
      <c r="H51" s="108"/>
      <c r="I51" s="108"/>
      <c r="J51" s="108"/>
      <c r="K51" s="111"/>
      <c r="L51" s="31">
        <v>13</v>
      </c>
      <c r="M51" s="44">
        <f t="shared" si="14"/>
        <v>4.5033320996790813</v>
      </c>
      <c r="N51" s="108"/>
      <c r="O51"/>
      <c r="P51" s="7">
        <f t="shared" si="13"/>
        <v>15.91566265060241</v>
      </c>
      <c r="Q51" s="6"/>
      <c r="R51" s="6"/>
      <c r="S51" s="6"/>
      <c r="T51" s="6">
        <f t="shared" si="15"/>
        <v>-2.9156626506024104</v>
      </c>
      <c r="U51" s="6"/>
      <c r="V51" s="6"/>
      <c r="W51" s="6"/>
      <c r="X51" s="3">
        <f t="shared" si="16"/>
        <v>2.3076923076923075</v>
      </c>
      <c r="Y51" s="3">
        <f t="shared" si="17"/>
        <v>15.209999999999999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</row>
    <row r="52" spans="1:221" s="3" customFormat="1" ht="13.5" customHeight="1">
      <c r="A52" s="31">
        <v>48</v>
      </c>
      <c r="B52" s="108" t="s">
        <v>259</v>
      </c>
      <c r="C52" s="108"/>
      <c r="D52" s="108"/>
      <c r="E52" s="108"/>
      <c r="F52" s="108"/>
      <c r="G52" s="108"/>
      <c r="H52" s="108"/>
      <c r="I52" s="108"/>
      <c r="J52" s="108"/>
      <c r="K52" s="111"/>
      <c r="L52" s="31">
        <v>17</v>
      </c>
      <c r="M52" s="44">
        <f t="shared" si="14"/>
        <v>5.8889727457341827</v>
      </c>
      <c r="N52" s="108"/>
      <c r="O52"/>
      <c r="P52" s="7">
        <f t="shared" si="13"/>
        <v>15.91566265060241</v>
      </c>
      <c r="Q52" s="6"/>
      <c r="R52" s="6"/>
      <c r="S52" s="6"/>
      <c r="T52" s="6">
        <f t="shared" si="15"/>
        <v>1.0843373493975896</v>
      </c>
      <c r="U52" s="6"/>
      <c r="V52" s="6"/>
      <c r="W52" s="6"/>
      <c r="X52" s="3">
        <f t="shared" si="16"/>
        <v>1.7647058823529411</v>
      </c>
      <c r="Y52" s="3">
        <f t="shared" si="17"/>
        <v>26.009999999999998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</row>
    <row r="53" spans="1:221" s="3" customFormat="1" ht="13.5" customHeight="1">
      <c r="A53" s="31">
        <v>49</v>
      </c>
      <c r="B53" s="108" t="s">
        <v>260</v>
      </c>
      <c r="C53" s="108"/>
      <c r="D53" s="108"/>
      <c r="E53" s="108"/>
      <c r="F53" s="108"/>
      <c r="G53" s="108"/>
      <c r="H53" s="108"/>
      <c r="I53" s="108"/>
      <c r="J53" s="108"/>
      <c r="K53" s="111"/>
      <c r="L53" s="31">
        <v>20</v>
      </c>
      <c r="M53" s="44">
        <f t="shared" si="14"/>
        <v>6.9282032302755088</v>
      </c>
      <c r="N53" s="108"/>
      <c r="O53"/>
      <c r="P53" s="7">
        <f t="shared" si="13"/>
        <v>15.91566265060241</v>
      </c>
      <c r="Q53" s="6"/>
      <c r="R53" s="6"/>
      <c r="S53" s="6"/>
      <c r="T53" s="6">
        <f t="shared" si="15"/>
        <v>4.0843373493975896</v>
      </c>
      <c r="U53" s="6"/>
      <c r="V53" s="6"/>
      <c r="W53" s="6"/>
      <c r="X53" s="3">
        <f t="shared" si="16"/>
        <v>1.5</v>
      </c>
      <c r="Y53" s="3">
        <f t="shared" si="17"/>
        <v>36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</row>
    <row r="54" spans="1:221" s="3" customFormat="1" ht="13.5" customHeight="1">
      <c r="A54" s="31">
        <v>50</v>
      </c>
      <c r="B54" s="108" t="s">
        <v>261</v>
      </c>
      <c r="C54" s="108"/>
      <c r="D54" s="108"/>
      <c r="E54" s="108"/>
      <c r="F54" s="108"/>
      <c r="G54" s="108"/>
      <c r="H54" s="108"/>
      <c r="I54" s="108"/>
      <c r="J54" s="108"/>
      <c r="K54" s="111"/>
      <c r="L54" s="31">
        <v>16</v>
      </c>
      <c r="M54" s="44">
        <f t="shared" si="14"/>
        <v>5.5425625842204074</v>
      </c>
      <c r="N54" s="108"/>
      <c r="O54"/>
      <c r="P54" s="7">
        <f t="shared" si="13"/>
        <v>15.91566265060241</v>
      </c>
      <c r="Q54" s="6"/>
      <c r="R54" s="6"/>
      <c r="S54" s="6"/>
      <c r="T54" s="6">
        <f t="shared" si="15"/>
        <v>8.4337349397589634E-2</v>
      </c>
      <c r="U54" s="6"/>
      <c r="V54" s="6"/>
      <c r="W54" s="6"/>
      <c r="X54" s="3">
        <f t="shared" si="16"/>
        <v>1.875</v>
      </c>
      <c r="Y54" s="3">
        <f t="shared" si="17"/>
        <v>23.04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</row>
    <row r="55" spans="1:221" s="3" customFormat="1" ht="13.5" customHeight="1">
      <c r="A55" s="31">
        <v>51</v>
      </c>
      <c r="B55" s="108" t="s">
        <v>262</v>
      </c>
      <c r="C55" s="108"/>
      <c r="D55" s="108"/>
      <c r="E55" s="108"/>
      <c r="F55" s="108"/>
      <c r="G55" s="108"/>
      <c r="H55" s="108"/>
      <c r="I55" s="108"/>
      <c r="J55" s="108"/>
      <c r="K55" s="111"/>
      <c r="L55" s="31">
        <v>13</v>
      </c>
      <c r="M55" s="44">
        <f t="shared" si="14"/>
        <v>4.5033320996790813</v>
      </c>
      <c r="N55" s="108"/>
      <c r="O55"/>
      <c r="P55" s="7">
        <f t="shared" si="13"/>
        <v>15.91566265060241</v>
      </c>
      <c r="Q55" s="6"/>
      <c r="R55" s="6"/>
      <c r="S55" s="6"/>
      <c r="T55" s="6">
        <f t="shared" si="15"/>
        <v>-2.9156626506024104</v>
      </c>
      <c r="U55" s="6"/>
      <c r="V55" s="6"/>
      <c r="W55" s="6"/>
      <c r="X55" s="3">
        <f t="shared" si="16"/>
        <v>2.3076923076923075</v>
      </c>
      <c r="Y55" s="3">
        <f t="shared" si="17"/>
        <v>15.209999999999999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</row>
    <row r="56" spans="1:221" s="3" customFormat="1" ht="13.5" customHeight="1">
      <c r="A56" s="31">
        <v>52</v>
      </c>
      <c r="B56" s="108" t="s">
        <v>263</v>
      </c>
      <c r="C56" s="108"/>
      <c r="D56" s="108"/>
      <c r="E56" s="108"/>
      <c r="F56" s="108"/>
      <c r="G56" s="108"/>
      <c r="H56" s="108"/>
      <c r="I56" s="108"/>
      <c r="J56" s="108"/>
      <c r="K56" s="111"/>
      <c r="L56" s="31">
        <v>12</v>
      </c>
      <c r="M56" s="44">
        <f t="shared" si="14"/>
        <v>4.156921938165306</v>
      </c>
      <c r="N56" s="108"/>
      <c r="O56"/>
      <c r="P56" s="7">
        <f t="shared" si="13"/>
        <v>15.91566265060241</v>
      </c>
      <c r="Q56" s="6"/>
      <c r="R56" s="6"/>
      <c r="S56" s="6"/>
      <c r="T56" s="6">
        <f t="shared" si="15"/>
        <v>-3.9156626506024104</v>
      </c>
      <c r="U56" s="6"/>
      <c r="V56" s="6"/>
      <c r="W56" s="6"/>
      <c r="X56" s="3">
        <f t="shared" si="16"/>
        <v>2.5</v>
      </c>
      <c r="Y56" s="3">
        <f t="shared" si="17"/>
        <v>12.959999999999997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</row>
    <row r="57" spans="1:221" s="3" customFormat="1" ht="13.5" customHeight="1">
      <c r="A57" s="31">
        <v>53</v>
      </c>
      <c r="B57" s="108" t="s">
        <v>264</v>
      </c>
      <c r="C57" s="108"/>
      <c r="D57" s="108"/>
      <c r="E57" s="108"/>
      <c r="F57" s="108"/>
      <c r="G57" s="108"/>
      <c r="H57" s="108"/>
      <c r="I57" s="108"/>
      <c r="J57" s="108"/>
      <c r="K57" s="111"/>
      <c r="L57" s="31">
        <v>17</v>
      </c>
      <c r="M57" s="44">
        <f t="shared" si="14"/>
        <v>5.8889727457341827</v>
      </c>
      <c r="N57" s="108"/>
      <c r="O57"/>
      <c r="P57" s="7">
        <f t="shared" si="13"/>
        <v>15.91566265060241</v>
      </c>
      <c r="Q57" s="6"/>
      <c r="R57" s="6"/>
      <c r="S57" s="6"/>
      <c r="T57" s="6">
        <f t="shared" si="15"/>
        <v>1.0843373493975896</v>
      </c>
      <c r="U57" s="6"/>
      <c r="V57" s="6"/>
      <c r="W57" s="6"/>
      <c r="X57" s="3">
        <f t="shared" si="16"/>
        <v>1.7647058823529411</v>
      </c>
      <c r="Y57" s="3">
        <f t="shared" si="17"/>
        <v>26.009999999999998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</row>
    <row r="58" spans="1:221" s="3" customFormat="1" ht="13.5" customHeight="1">
      <c r="A58" s="31">
        <v>54</v>
      </c>
      <c r="B58" s="108" t="s">
        <v>265</v>
      </c>
      <c r="C58" s="108"/>
      <c r="D58" s="108"/>
      <c r="E58" s="108"/>
      <c r="F58" s="108"/>
      <c r="G58" s="108"/>
      <c r="H58" s="108"/>
      <c r="I58" s="108"/>
      <c r="J58" s="108"/>
      <c r="K58" s="111"/>
      <c r="L58" s="31">
        <v>12</v>
      </c>
      <c r="M58" s="44">
        <f t="shared" si="14"/>
        <v>4.156921938165306</v>
      </c>
      <c r="N58" s="108"/>
      <c r="O58"/>
      <c r="P58" s="7">
        <f t="shared" si="13"/>
        <v>15.91566265060241</v>
      </c>
      <c r="Q58" s="6"/>
      <c r="R58" s="6"/>
      <c r="S58" s="6"/>
      <c r="T58" s="6">
        <f t="shared" si="15"/>
        <v>-3.9156626506024104</v>
      </c>
      <c r="U58" s="6"/>
      <c r="V58" s="6"/>
      <c r="W58" s="6"/>
      <c r="X58" s="3">
        <f t="shared" si="16"/>
        <v>2.5</v>
      </c>
      <c r="Y58" s="3">
        <f t="shared" si="17"/>
        <v>12.959999999999997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</row>
    <row r="59" spans="1:221" s="3" customFormat="1" ht="13.5" customHeight="1">
      <c r="A59" s="31">
        <v>55</v>
      </c>
      <c r="B59" s="108" t="s">
        <v>266</v>
      </c>
      <c r="C59" s="108"/>
      <c r="D59" s="108"/>
      <c r="E59" s="108"/>
      <c r="F59" s="108"/>
      <c r="G59" s="108"/>
      <c r="H59" s="108"/>
      <c r="I59" s="108"/>
      <c r="J59" s="108"/>
      <c r="K59" s="111"/>
      <c r="L59" s="31">
        <v>20</v>
      </c>
      <c r="M59" s="44">
        <f t="shared" si="14"/>
        <v>6.9282032302755088</v>
      </c>
      <c r="N59" s="108"/>
      <c r="O59"/>
      <c r="P59" s="7">
        <f t="shared" si="13"/>
        <v>15.91566265060241</v>
      </c>
      <c r="Q59" s="6"/>
      <c r="R59" s="6"/>
      <c r="S59" s="6"/>
      <c r="T59" s="6">
        <f t="shared" si="15"/>
        <v>4.0843373493975896</v>
      </c>
      <c r="U59" s="6"/>
      <c r="V59" s="6"/>
      <c r="W59" s="6"/>
      <c r="X59" s="3">
        <f t="shared" si="16"/>
        <v>1.5</v>
      </c>
      <c r="Y59" s="3">
        <f t="shared" si="17"/>
        <v>36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</row>
    <row r="60" spans="1:221" s="3" customFormat="1" ht="13.5" customHeight="1">
      <c r="A60" s="31">
        <v>56</v>
      </c>
      <c r="B60" s="108" t="s">
        <v>267</v>
      </c>
      <c r="C60" s="108"/>
      <c r="D60" s="108"/>
      <c r="E60" s="108"/>
      <c r="F60" s="108"/>
      <c r="G60" s="108"/>
      <c r="H60" s="108"/>
      <c r="I60" s="108"/>
      <c r="J60" s="108"/>
      <c r="K60" s="111"/>
      <c r="L60" s="31">
        <v>14</v>
      </c>
      <c r="M60" s="44">
        <f t="shared" si="0"/>
        <v>4.8497422611928567</v>
      </c>
      <c r="N60" s="108"/>
      <c r="O60"/>
      <c r="P60" s="7">
        <f t="shared" si="13"/>
        <v>15.91566265060241</v>
      </c>
      <c r="Q60" s="6"/>
      <c r="R60" s="6"/>
      <c r="S60" s="6"/>
      <c r="T60" s="6">
        <f t="shared" si="2"/>
        <v>-1.9156626506024104</v>
      </c>
      <c r="U60" s="6"/>
      <c r="V60" s="6"/>
      <c r="W60" s="6"/>
      <c r="X60" s="3">
        <f t="shared" si="3"/>
        <v>2.1428571428571428</v>
      </c>
      <c r="Y60" s="3">
        <f t="shared" si="4"/>
        <v>17.64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</row>
    <row r="61" spans="1:221" s="3" customFormat="1" ht="13.5" customHeight="1">
      <c r="A61" s="31">
        <v>57</v>
      </c>
      <c r="B61" s="108" t="s">
        <v>268</v>
      </c>
      <c r="C61" s="108"/>
      <c r="D61" s="108"/>
      <c r="E61" s="108"/>
      <c r="F61" s="108"/>
      <c r="G61" s="108"/>
      <c r="H61" s="108"/>
      <c r="I61" s="108"/>
      <c r="J61" s="108"/>
      <c r="K61" s="111"/>
      <c r="L61" s="31">
        <v>18</v>
      </c>
      <c r="M61" s="44">
        <f t="shared" si="0"/>
        <v>6.2353829072479581</v>
      </c>
      <c r="N61" s="108"/>
      <c r="O61"/>
      <c r="P61" s="7">
        <f t="shared" si="13"/>
        <v>15.91566265060241</v>
      </c>
      <c r="Q61" s="6"/>
      <c r="R61" s="6"/>
      <c r="S61" s="6"/>
      <c r="T61" s="6">
        <f t="shared" si="2"/>
        <v>2.0843373493975896</v>
      </c>
      <c r="U61" s="6"/>
      <c r="V61" s="6"/>
      <c r="W61" s="6"/>
      <c r="X61" s="3">
        <f t="shared" si="3"/>
        <v>1.6666666666666667</v>
      </c>
      <c r="Y61" s="3">
        <f t="shared" si="4"/>
        <v>29.159999999999993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</row>
    <row r="62" spans="1:221" s="3" customFormat="1" ht="13.5" customHeight="1">
      <c r="A62" s="31">
        <v>58</v>
      </c>
      <c r="B62" s="108" t="s">
        <v>269</v>
      </c>
      <c r="C62" s="108"/>
      <c r="D62" s="108"/>
      <c r="E62" s="108"/>
      <c r="F62" s="108"/>
      <c r="G62" s="108"/>
      <c r="H62" s="108"/>
      <c r="I62" s="108"/>
      <c r="J62" s="108"/>
      <c r="K62" s="111"/>
      <c r="L62" s="31">
        <v>16</v>
      </c>
      <c r="M62" s="44">
        <f t="shared" si="0"/>
        <v>5.5425625842204074</v>
      </c>
      <c r="N62" s="108"/>
      <c r="O62"/>
      <c r="P62" s="7">
        <f t="shared" si="13"/>
        <v>15.91566265060241</v>
      </c>
      <c r="Q62" s="6"/>
      <c r="R62" s="6"/>
      <c r="S62" s="6"/>
      <c r="T62" s="6">
        <f t="shared" si="2"/>
        <v>8.4337349397589634E-2</v>
      </c>
      <c r="U62" s="6"/>
      <c r="V62" s="6"/>
      <c r="W62" s="6"/>
      <c r="X62" s="3">
        <f t="shared" si="3"/>
        <v>1.875</v>
      </c>
      <c r="Y62" s="3">
        <f t="shared" si="4"/>
        <v>23.04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</row>
    <row r="63" spans="1:221" s="3" customFormat="1" ht="13.5" customHeight="1">
      <c r="A63" s="31">
        <v>59</v>
      </c>
      <c r="B63" s="108" t="s">
        <v>270</v>
      </c>
      <c r="C63" s="108"/>
      <c r="D63" s="108"/>
      <c r="E63" s="108"/>
      <c r="F63" s="108"/>
      <c r="G63" s="108"/>
      <c r="H63" s="108"/>
      <c r="I63" s="108"/>
      <c r="J63" s="108"/>
      <c r="K63" s="111"/>
      <c r="L63" s="31">
        <v>17</v>
      </c>
      <c r="M63" s="44">
        <f t="shared" si="0"/>
        <v>5.8889727457341827</v>
      </c>
      <c r="N63" s="108"/>
      <c r="O63"/>
      <c r="P63" s="7">
        <f t="shared" si="13"/>
        <v>15.91566265060241</v>
      </c>
      <c r="Q63" s="6"/>
      <c r="R63" s="6"/>
      <c r="S63" s="6"/>
      <c r="T63" s="6">
        <f t="shared" si="2"/>
        <v>1.0843373493975896</v>
      </c>
      <c r="U63" s="6"/>
      <c r="V63" s="6"/>
      <c r="W63" s="6"/>
      <c r="X63" s="3">
        <f t="shared" si="3"/>
        <v>1.7647058823529411</v>
      </c>
      <c r="Y63" s="3">
        <f t="shared" si="4"/>
        <v>26.009999999999998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</row>
    <row r="64" spans="1:221" s="3" customFormat="1" ht="13.5" customHeight="1">
      <c r="A64" s="31">
        <v>60</v>
      </c>
      <c r="B64" s="108" t="s">
        <v>271</v>
      </c>
      <c r="C64" s="108"/>
      <c r="D64" s="108"/>
      <c r="E64" s="108"/>
      <c r="F64" s="108"/>
      <c r="G64" s="108"/>
      <c r="H64" s="108"/>
      <c r="I64" s="108"/>
      <c r="J64" s="108"/>
      <c r="K64" s="111"/>
      <c r="L64" s="31">
        <v>17</v>
      </c>
      <c r="M64" s="44">
        <f t="shared" si="0"/>
        <v>5.8889727457341827</v>
      </c>
      <c r="N64" s="108"/>
      <c r="O64"/>
      <c r="P64" s="7">
        <f t="shared" si="13"/>
        <v>15.91566265060241</v>
      </c>
      <c r="Q64" s="6"/>
      <c r="R64" s="6"/>
      <c r="S64" s="6"/>
      <c r="T64" s="6">
        <f t="shared" si="2"/>
        <v>1.0843373493975896</v>
      </c>
      <c r="U64" s="6"/>
      <c r="V64" s="6"/>
      <c r="W64" s="6"/>
      <c r="X64" s="3">
        <f t="shared" si="3"/>
        <v>1.7647058823529411</v>
      </c>
      <c r="Y64" s="3">
        <f t="shared" si="4"/>
        <v>26.009999999999998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</row>
    <row r="65" spans="1:221" s="3" customFormat="1" ht="13.5" customHeight="1">
      <c r="A65" s="31">
        <v>61</v>
      </c>
      <c r="B65" s="108" t="s">
        <v>272</v>
      </c>
      <c r="C65" s="108"/>
      <c r="D65" s="108"/>
      <c r="E65" s="108"/>
      <c r="F65" s="108"/>
      <c r="G65" s="108"/>
      <c r="H65" s="108"/>
      <c r="I65" s="108"/>
      <c r="J65" s="108"/>
      <c r="K65" s="111"/>
      <c r="L65" s="31">
        <v>15</v>
      </c>
      <c r="M65" s="44">
        <f t="shared" si="0"/>
        <v>5.196152422706632</v>
      </c>
      <c r="N65" s="108"/>
      <c r="O65"/>
      <c r="P65" s="7">
        <f t="shared" si="13"/>
        <v>15.91566265060241</v>
      </c>
      <c r="Q65" s="6"/>
      <c r="R65" s="6"/>
      <c r="S65" s="6"/>
      <c r="T65" s="6">
        <f t="shared" si="2"/>
        <v>-0.91566265060241037</v>
      </c>
      <c r="U65" s="6"/>
      <c r="V65" s="6"/>
      <c r="W65" s="6"/>
      <c r="X65" s="3">
        <f t="shared" si="3"/>
        <v>2</v>
      </c>
      <c r="Y65" s="3">
        <f t="shared" si="4"/>
        <v>20.25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</row>
    <row r="66" spans="1:221" s="3" customFormat="1" ht="13.5" customHeight="1">
      <c r="A66" s="31">
        <v>62</v>
      </c>
      <c r="B66" s="108" t="s">
        <v>273</v>
      </c>
      <c r="C66" s="108"/>
      <c r="D66" s="108"/>
      <c r="E66" s="108"/>
      <c r="F66" s="108"/>
      <c r="G66" s="108"/>
      <c r="H66" s="108"/>
      <c r="I66" s="108"/>
      <c r="J66" s="108"/>
      <c r="K66" s="111"/>
      <c r="L66" s="31">
        <v>17</v>
      </c>
      <c r="M66" s="44">
        <f t="shared" si="0"/>
        <v>5.8889727457341827</v>
      </c>
      <c r="N66" s="108"/>
      <c r="O66"/>
      <c r="P66" s="7">
        <f t="shared" si="13"/>
        <v>15.91566265060241</v>
      </c>
      <c r="Q66" s="6"/>
      <c r="R66" s="6"/>
      <c r="S66" s="6"/>
      <c r="T66" s="6">
        <f t="shared" si="2"/>
        <v>1.0843373493975896</v>
      </c>
      <c r="U66" s="6"/>
      <c r="V66" s="6"/>
      <c r="W66" s="6"/>
      <c r="X66" s="3">
        <f t="shared" si="3"/>
        <v>1.7647058823529411</v>
      </c>
      <c r="Y66" s="3">
        <f t="shared" si="4"/>
        <v>26.009999999999998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</row>
    <row r="67" spans="1:221" s="3" customFormat="1" ht="13.5" customHeight="1">
      <c r="A67" s="31">
        <v>63</v>
      </c>
      <c r="B67" s="108" t="s">
        <v>274</v>
      </c>
      <c r="C67" s="108"/>
      <c r="D67" s="108"/>
      <c r="E67" s="108"/>
      <c r="F67" s="108"/>
      <c r="G67" s="108"/>
      <c r="H67" s="108"/>
      <c r="I67" s="108"/>
      <c r="J67" s="108"/>
      <c r="K67" s="112"/>
      <c r="L67" s="31">
        <v>15</v>
      </c>
      <c r="M67" s="44">
        <f t="shared" si="0"/>
        <v>5.196152422706632</v>
      </c>
      <c r="N67" s="108"/>
      <c r="O67"/>
      <c r="P67" s="7">
        <f t="shared" si="13"/>
        <v>15.91566265060241</v>
      </c>
      <c r="Q67" s="6"/>
      <c r="R67" s="6"/>
      <c r="S67" s="6"/>
      <c r="T67" s="6">
        <f t="shared" si="2"/>
        <v>-0.91566265060241037</v>
      </c>
      <c r="U67" s="6"/>
      <c r="V67" s="6"/>
      <c r="W67" s="6"/>
      <c r="X67" s="3">
        <f t="shared" si="3"/>
        <v>2</v>
      </c>
      <c r="Y67" s="3">
        <f t="shared" si="4"/>
        <v>20.25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</row>
    <row r="68" spans="1:221" s="3" customFormat="1" ht="13.5" customHeight="1">
      <c r="A68" s="31">
        <v>64</v>
      </c>
      <c r="B68" s="108" t="s">
        <v>275</v>
      </c>
      <c r="C68" s="108"/>
      <c r="D68" s="108"/>
      <c r="E68" s="108"/>
      <c r="F68" s="108"/>
      <c r="G68" s="108"/>
      <c r="H68" s="108"/>
      <c r="I68" s="108"/>
      <c r="J68" s="108"/>
      <c r="K68" s="52">
        <v>46006</v>
      </c>
      <c r="L68" s="31">
        <v>14</v>
      </c>
      <c r="M68" s="44">
        <f t="shared" si="0"/>
        <v>4.8497422611928567</v>
      </c>
      <c r="N68" s="108">
        <v>80</v>
      </c>
      <c r="O68"/>
      <c r="P68" s="7">
        <f t="shared" si="13"/>
        <v>15.91566265060241</v>
      </c>
      <c r="Q68" s="6"/>
      <c r="R68" s="6"/>
      <c r="S68" s="6"/>
      <c r="T68" s="6">
        <f t="shared" si="2"/>
        <v>-1.9156626506024104</v>
      </c>
      <c r="U68" s="6"/>
      <c r="V68" s="6"/>
      <c r="W68" s="6"/>
      <c r="X68" s="3">
        <f t="shared" si="3"/>
        <v>2.1428571428571428</v>
      </c>
      <c r="Y68" s="3">
        <f t="shared" si="4"/>
        <v>17.64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</row>
    <row r="69" spans="1:221" s="3" customFormat="1" ht="13.5" customHeight="1">
      <c r="A69" s="31">
        <v>65</v>
      </c>
      <c r="B69" s="108" t="s">
        <v>276</v>
      </c>
      <c r="C69" s="108"/>
      <c r="D69" s="108"/>
      <c r="E69" s="108"/>
      <c r="F69" s="108"/>
      <c r="G69" s="108"/>
      <c r="H69" s="108"/>
      <c r="I69" s="108"/>
      <c r="J69" s="108"/>
      <c r="K69" s="109">
        <v>46007</v>
      </c>
      <c r="L69" s="31">
        <v>16</v>
      </c>
      <c r="M69" s="44">
        <f t="shared" si="0"/>
        <v>5.5425625842204074</v>
      </c>
      <c r="N69" s="108"/>
      <c r="O69"/>
      <c r="P69" s="7">
        <f t="shared" ref="P69:P87" si="18">$L$88</f>
        <v>15.91566265060241</v>
      </c>
      <c r="Q69" s="6"/>
      <c r="R69" s="6"/>
      <c r="S69" s="6"/>
      <c r="T69" s="6">
        <f t="shared" si="2"/>
        <v>8.4337349397589634E-2</v>
      </c>
      <c r="U69" s="6"/>
      <c r="V69" s="6"/>
      <c r="W69" s="6"/>
      <c r="X69" s="3">
        <f t="shared" si="3"/>
        <v>1.875</v>
      </c>
      <c r="Y69" s="3">
        <f t="shared" si="4"/>
        <v>23.04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</row>
    <row r="70" spans="1:221" s="3" customFormat="1" ht="13.5" customHeight="1">
      <c r="A70" s="31">
        <v>66</v>
      </c>
      <c r="B70" s="108" t="s">
        <v>277</v>
      </c>
      <c r="C70" s="108"/>
      <c r="D70" s="108"/>
      <c r="E70" s="108"/>
      <c r="F70" s="108"/>
      <c r="G70" s="108"/>
      <c r="H70" s="108"/>
      <c r="I70" s="108"/>
      <c r="J70" s="108"/>
      <c r="K70" s="109"/>
      <c r="L70" s="31">
        <v>12</v>
      </c>
      <c r="M70" s="44">
        <f t="shared" ref="M70:M79" si="19">SQRT(((L70*0.3/L70)^2)/3)*2*L70</f>
        <v>4.156921938165306</v>
      </c>
      <c r="N70" s="108"/>
      <c r="O70"/>
      <c r="P70" s="7">
        <f t="shared" si="18"/>
        <v>15.91566265060241</v>
      </c>
      <c r="Q70" s="6"/>
      <c r="R70" s="6"/>
      <c r="S70" s="6"/>
      <c r="T70" s="6">
        <f t="shared" ref="T70:T79" si="20">L70-P70</f>
        <v>-3.9156626506024104</v>
      </c>
      <c r="U70" s="6"/>
      <c r="V70" s="6"/>
      <c r="W70" s="6"/>
      <c r="X70" s="3">
        <f t="shared" ref="X70:X79" si="21">30/L70</f>
        <v>2.5</v>
      </c>
      <c r="Y70" s="3">
        <f t="shared" ref="Y70:Y79" si="22">(0.3*L70)^2</f>
        <v>12.959999999999997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</row>
    <row r="71" spans="1:221" s="3" customFormat="1" ht="13.5" customHeight="1">
      <c r="A71" s="31">
        <v>67</v>
      </c>
      <c r="B71" s="108" t="s">
        <v>278</v>
      </c>
      <c r="C71" s="108"/>
      <c r="D71" s="108"/>
      <c r="E71" s="108"/>
      <c r="F71" s="108"/>
      <c r="G71" s="108"/>
      <c r="H71" s="108"/>
      <c r="I71" s="108"/>
      <c r="J71" s="108"/>
      <c r="K71" s="109"/>
      <c r="L71" s="31">
        <v>17</v>
      </c>
      <c r="M71" s="44">
        <f t="shared" si="19"/>
        <v>5.8889727457341827</v>
      </c>
      <c r="N71" s="108"/>
      <c r="O71"/>
      <c r="P71" s="7">
        <f t="shared" si="18"/>
        <v>15.91566265060241</v>
      </c>
      <c r="Q71" s="6"/>
      <c r="R71" s="6"/>
      <c r="S71" s="6"/>
      <c r="T71" s="6">
        <f t="shared" si="20"/>
        <v>1.0843373493975896</v>
      </c>
      <c r="U71" s="6"/>
      <c r="V71" s="6"/>
      <c r="W71" s="6"/>
      <c r="X71" s="3">
        <f t="shared" si="21"/>
        <v>1.7647058823529411</v>
      </c>
      <c r="Y71" s="3">
        <f t="shared" si="22"/>
        <v>26.009999999999998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</row>
    <row r="72" spans="1:221" s="3" customFormat="1" ht="13.5" customHeight="1">
      <c r="A72" s="31">
        <v>68</v>
      </c>
      <c r="B72" s="108" t="s">
        <v>279</v>
      </c>
      <c r="C72" s="108"/>
      <c r="D72" s="108"/>
      <c r="E72" s="108"/>
      <c r="F72" s="108"/>
      <c r="G72" s="108"/>
      <c r="H72" s="108"/>
      <c r="I72" s="108"/>
      <c r="J72" s="108"/>
      <c r="K72" s="109"/>
      <c r="L72" s="31">
        <v>17</v>
      </c>
      <c r="M72" s="44">
        <f t="shared" si="19"/>
        <v>5.8889727457341827</v>
      </c>
      <c r="N72" s="108"/>
      <c r="O72"/>
      <c r="P72" s="7">
        <f t="shared" si="18"/>
        <v>15.91566265060241</v>
      </c>
      <c r="Q72" s="6"/>
      <c r="R72" s="6"/>
      <c r="S72" s="6"/>
      <c r="T72" s="6">
        <f t="shared" si="20"/>
        <v>1.0843373493975896</v>
      </c>
      <c r="U72" s="6"/>
      <c r="V72" s="6"/>
      <c r="W72" s="6"/>
      <c r="X72" s="3">
        <f t="shared" si="21"/>
        <v>1.7647058823529411</v>
      </c>
      <c r="Y72" s="3">
        <f t="shared" si="22"/>
        <v>26.009999999999998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</row>
    <row r="73" spans="1:221" s="3" customFormat="1" ht="13.5" customHeight="1">
      <c r="A73" s="31">
        <v>69</v>
      </c>
      <c r="B73" s="108" t="s">
        <v>280</v>
      </c>
      <c r="C73" s="108"/>
      <c r="D73" s="108"/>
      <c r="E73" s="108"/>
      <c r="F73" s="108"/>
      <c r="G73" s="108"/>
      <c r="H73" s="108"/>
      <c r="I73" s="108"/>
      <c r="J73" s="108"/>
      <c r="K73" s="109"/>
      <c r="L73" s="31">
        <v>15</v>
      </c>
      <c r="M73" s="44">
        <f t="shared" si="19"/>
        <v>5.196152422706632</v>
      </c>
      <c r="N73" s="108"/>
      <c r="O73"/>
      <c r="P73" s="7">
        <f t="shared" si="18"/>
        <v>15.91566265060241</v>
      </c>
      <c r="Q73" s="6"/>
      <c r="R73" s="6"/>
      <c r="S73" s="6"/>
      <c r="T73" s="6">
        <f t="shared" si="20"/>
        <v>-0.91566265060241037</v>
      </c>
      <c r="U73" s="6"/>
      <c r="V73" s="6"/>
      <c r="W73" s="6"/>
      <c r="X73" s="3">
        <f t="shared" si="21"/>
        <v>2</v>
      </c>
      <c r="Y73" s="3">
        <f t="shared" si="22"/>
        <v>20.25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</row>
    <row r="74" spans="1:221" s="3" customFormat="1" ht="13.5" customHeight="1">
      <c r="A74" s="31">
        <v>70</v>
      </c>
      <c r="B74" s="108" t="s">
        <v>281</v>
      </c>
      <c r="C74" s="108"/>
      <c r="D74" s="108"/>
      <c r="E74" s="108"/>
      <c r="F74" s="108"/>
      <c r="G74" s="108"/>
      <c r="H74" s="108"/>
      <c r="I74" s="108"/>
      <c r="J74" s="108"/>
      <c r="K74" s="109"/>
      <c r="L74" s="31">
        <v>16</v>
      </c>
      <c r="M74" s="44">
        <f t="shared" si="19"/>
        <v>5.5425625842204074</v>
      </c>
      <c r="N74" s="108"/>
      <c r="O74"/>
      <c r="P74" s="7">
        <f t="shared" si="18"/>
        <v>15.91566265060241</v>
      </c>
      <c r="Q74" s="6"/>
      <c r="R74" s="6"/>
      <c r="S74" s="6"/>
      <c r="T74" s="6">
        <f t="shared" si="20"/>
        <v>8.4337349397589634E-2</v>
      </c>
      <c r="U74" s="6"/>
      <c r="V74" s="6"/>
      <c r="W74" s="6"/>
      <c r="X74" s="3">
        <f t="shared" si="21"/>
        <v>1.875</v>
      </c>
      <c r="Y74" s="3">
        <f t="shared" si="22"/>
        <v>23.04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</row>
    <row r="75" spans="1:221" s="3" customFormat="1" ht="13.5" customHeight="1">
      <c r="A75" s="31">
        <v>71</v>
      </c>
      <c r="B75" s="108" t="s">
        <v>282</v>
      </c>
      <c r="C75" s="108"/>
      <c r="D75" s="108"/>
      <c r="E75" s="108"/>
      <c r="F75" s="108"/>
      <c r="G75" s="108"/>
      <c r="H75" s="108"/>
      <c r="I75" s="108"/>
      <c r="J75" s="108"/>
      <c r="K75" s="109"/>
      <c r="L75" s="31">
        <v>15</v>
      </c>
      <c r="M75" s="44">
        <f t="shared" si="19"/>
        <v>5.196152422706632</v>
      </c>
      <c r="N75" s="108"/>
      <c r="O75"/>
      <c r="P75" s="7">
        <f t="shared" si="18"/>
        <v>15.91566265060241</v>
      </c>
      <c r="Q75" s="6"/>
      <c r="R75" s="6"/>
      <c r="S75" s="6"/>
      <c r="T75" s="6">
        <f t="shared" si="20"/>
        <v>-0.91566265060241037</v>
      </c>
      <c r="U75" s="6"/>
      <c r="V75" s="6"/>
      <c r="W75" s="6"/>
      <c r="X75" s="3">
        <f t="shared" si="21"/>
        <v>2</v>
      </c>
      <c r="Y75" s="3">
        <f t="shared" si="22"/>
        <v>20.25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</row>
    <row r="76" spans="1:221" s="3" customFormat="1" ht="13.5" customHeight="1">
      <c r="A76" s="31">
        <v>72</v>
      </c>
      <c r="B76" s="108" t="s">
        <v>283</v>
      </c>
      <c r="C76" s="108"/>
      <c r="D76" s="108"/>
      <c r="E76" s="108"/>
      <c r="F76" s="108"/>
      <c r="G76" s="108"/>
      <c r="H76" s="108"/>
      <c r="I76" s="108"/>
      <c r="J76" s="108"/>
      <c r="K76" s="109"/>
      <c r="L76" s="31">
        <v>18</v>
      </c>
      <c r="M76" s="44">
        <f t="shared" si="19"/>
        <v>6.2353829072479581</v>
      </c>
      <c r="N76" s="108"/>
      <c r="O76"/>
      <c r="P76" s="7">
        <f t="shared" si="18"/>
        <v>15.91566265060241</v>
      </c>
      <c r="Q76" s="6"/>
      <c r="R76" s="6"/>
      <c r="S76" s="6"/>
      <c r="T76" s="6">
        <f t="shared" si="20"/>
        <v>2.0843373493975896</v>
      </c>
      <c r="U76" s="6"/>
      <c r="V76" s="6"/>
      <c r="W76" s="6"/>
      <c r="X76" s="3">
        <f t="shared" si="21"/>
        <v>1.6666666666666667</v>
      </c>
      <c r="Y76" s="3">
        <f t="shared" si="22"/>
        <v>29.159999999999993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</row>
    <row r="77" spans="1:221" s="3" customFormat="1" ht="13.5" customHeight="1">
      <c r="A77" s="31">
        <v>73</v>
      </c>
      <c r="B77" s="108" t="s">
        <v>284</v>
      </c>
      <c r="C77" s="108"/>
      <c r="D77" s="108"/>
      <c r="E77" s="108"/>
      <c r="F77" s="108"/>
      <c r="G77" s="108"/>
      <c r="H77" s="108"/>
      <c r="I77" s="108"/>
      <c r="J77" s="108"/>
      <c r="K77" s="109"/>
      <c r="L77" s="31">
        <v>15</v>
      </c>
      <c r="M77" s="44">
        <f t="shared" si="19"/>
        <v>5.196152422706632</v>
      </c>
      <c r="N77" s="108"/>
      <c r="O77"/>
      <c r="P77" s="7">
        <f t="shared" si="18"/>
        <v>15.91566265060241</v>
      </c>
      <c r="Q77" s="6"/>
      <c r="R77" s="6"/>
      <c r="S77" s="6"/>
      <c r="T77" s="6">
        <f t="shared" si="20"/>
        <v>-0.91566265060241037</v>
      </c>
      <c r="U77" s="6"/>
      <c r="V77" s="6"/>
      <c r="W77" s="6"/>
      <c r="X77" s="3">
        <f t="shared" si="21"/>
        <v>2</v>
      </c>
      <c r="Y77" s="3">
        <f t="shared" si="22"/>
        <v>20.25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</row>
    <row r="78" spans="1:221" s="3" customFormat="1" ht="13.5" customHeight="1">
      <c r="A78" s="31">
        <v>74</v>
      </c>
      <c r="B78" s="108" t="s">
        <v>285</v>
      </c>
      <c r="C78" s="108"/>
      <c r="D78" s="108"/>
      <c r="E78" s="108"/>
      <c r="F78" s="108"/>
      <c r="G78" s="108"/>
      <c r="H78" s="108"/>
      <c r="I78" s="108"/>
      <c r="J78" s="108"/>
      <c r="K78" s="109"/>
      <c r="L78" s="31">
        <v>14</v>
      </c>
      <c r="M78" s="44">
        <f t="shared" si="19"/>
        <v>4.8497422611928567</v>
      </c>
      <c r="N78" s="108"/>
      <c r="O78"/>
      <c r="P78" s="7">
        <f t="shared" si="18"/>
        <v>15.91566265060241</v>
      </c>
      <c r="Q78" s="6"/>
      <c r="R78" s="6"/>
      <c r="S78" s="6"/>
      <c r="T78" s="6">
        <f t="shared" si="20"/>
        <v>-1.9156626506024104</v>
      </c>
      <c r="U78" s="6"/>
      <c r="V78" s="6"/>
      <c r="W78" s="6"/>
      <c r="X78" s="3">
        <f t="shared" si="21"/>
        <v>2.1428571428571428</v>
      </c>
      <c r="Y78" s="3">
        <f t="shared" si="22"/>
        <v>17.64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</row>
    <row r="79" spans="1:221" s="3" customFormat="1" ht="13.5" customHeight="1">
      <c r="A79" s="31">
        <v>75</v>
      </c>
      <c r="B79" s="108" t="s">
        <v>286</v>
      </c>
      <c r="C79" s="108"/>
      <c r="D79" s="108"/>
      <c r="E79" s="108"/>
      <c r="F79" s="108"/>
      <c r="G79" s="108"/>
      <c r="H79" s="108"/>
      <c r="I79" s="108"/>
      <c r="J79" s="108"/>
      <c r="K79" s="109"/>
      <c r="L79" s="31">
        <v>14</v>
      </c>
      <c r="M79" s="44">
        <f t="shared" si="19"/>
        <v>4.8497422611928567</v>
      </c>
      <c r="N79" s="108"/>
      <c r="O79"/>
      <c r="P79" s="7">
        <f t="shared" si="18"/>
        <v>15.91566265060241</v>
      </c>
      <c r="Q79" s="6"/>
      <c r="R79" s="6"/>
      <c r="S79" s="6"/>
      <c r="T79" s="6">
        <f t="shared" si="20"/>
        <v>-1.9156626506024104</v>
      </c>
      <c r="U79" s="6"/>
      <c r="V79" s="6"/>
      <c r="W79" s="6"/>
      <c r="X79" s="3">
        <f t="shared" si="21"/>
        <v>2.1428571428571428</v>
      </c>
      <c r="Y79" s="3">
        <f t="shared" si="22"/>
        <v>17.64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</row>
    <row r="80" spans="1:221" s="3" customFormat="1" ht="13.5" customHeight="1">
      <c r="A80" s="31">
        <v>76</v>
      </c>
      <c r="B80" s="108" t="s">
        <v>287</v>
      </c>
      <c r="C80" s="108"/>
      <c r="D80" s="108"/>
      <c r="E80" s="108"/>
      <c r="F80" s="108"/>
      <c r="G80" s="108"/>
      <c r="H80" s="108"/>
      <c r="I80" s="108"/>
      <c r="J80" s="108"/>
      <c r="K80" s="109"/>
      <c r="L80" s="31">
        <v>18</v>
      </c>
      <c r="M80" s="44">
        <f t="shared" si="0"/>
        <v>6.2353829072479581</v>
      </c>
      <c r="N80" s="108"/>
      <c r="O80"/>
      <c r="P80" s="7">
        <f t="shared" si="18"/>
        <v>15.91566265060241</v>
      </c>
      <c r="Q80" s="6"/>
      <c r="R80" s="6"/>
      <c r="S80" s="6"/>
      <c r="T80" s="6">
        <f t="shared" si="2"/>
        <v>2.0843373493975896</v>
      </c>
      <c r="U80" s="6"/>
      <c r="V80" s="6"/>
      <c r="W80" s="6"/>
      <c r="X80" s="3">
        <f t="shared" si="3"/>
        <v>1.6666666666666667</v>
      </c>
      <c r="Y80" s="3">
        <f t="shared" si="4"/>
        <v>29.159999999999993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</row>
    <row r="81" spans="1:222" s="3" customFormat="1" ht="13.5" customHeight="1">
      <c r="A81" s="31">
        <v>77</v>
      </c>
      <c r="B81" s="108" t="s">
        <v>288</v>
      </c>
      <c r="C81" s="108"/>
      <c r="D81" s="108"/>
      <c r="E81" s="108"/>
      <c r="F81" s="108"/>
      <c r="G81" s="108"/>
      <c r="H81" s="108"/>
      <c r="I81" s="108"/>
      <c r="J81" s="108"/>
      <c r="K81" s="109"/>
      <c r="L81" s="31">
        <v>17</v>
      </c>
      <c r="M81" s="44">
        <f t="shared" si="0"/>
        <v>5.8889727457341827</v>
      </c>
      <c r="N81" s="108"/>
      <c r="O81"/>
      <c r="P81" s="7">
        <f t="shared" si="18"/>
        <v>15.91566265060241</v>
      </c>
      <c r="Q81" s="6"/>
      <c r="R81" s="6"/>
      <c r="S81" s="6"/>
      <c r="T81" s="6">
        <f t="shared" si="2"/>
        <v>1.0843373493975896</v>
      </c>
      <c r="U81" s="6"/>
      <c r="V81" s="6"/>
      <c r="W81" s="6"/>
      <c r="X81" s="3">
        <f t="shared" si="3"/>
        <v>1.7647058823529411</v>
      </c>
      <c r="Y81" s="3">
        <f t="shared" si="4"/>
        <v>26.009999999999998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</row>
    <row r="82" spans="1:222" s="3" customFormat="1" ht="13.5" customHeight="1">
      <c r="A82" s="31">
        <v>78</v>
      </c>
      <c r="B82" s="108" t="s">
        <v>289</v>
      </c>
      <c r="C82" s="108"/>
      <c r="D82" s="108"/>
      <c r="E82" s="108"/>
      <c r="F82" s="108"/>
      <c r="G82" s="108"/>
      <c r="H82" s="108"/>
      <c r="I82" s="108"/>
      <c r="J82" s="108"/>
      <c r="K82" s="109"/>
      <c r="L82" s="31">
        <v>12</v>
      </c>
      <c r="M82" s="44">
        <f t="shared" si="0"/>
        <v>4.156921938165306</v>
      </c>
      <c r="N82" s="108"/>
      <c r="O82"/>
      <c r="P82" s="7">
        <f t="shared" si="18"/>
        <v>15.91566265060241</v>
      </c>
      <c r="Q82" s="6"/>
      <c r="R82" s="6"/>
      <c r="S82" s="6"/>
      <c r="T82" s="6">
        <f t="shared" si="2"/>
        <v>-3.9156626506024104</v>
      </c>
      <c r="U82" s="6"/>
      <c r="V82" s="6"/>
      <c r="W82" s="6"/>
      <c r="X82" s="3">
        <f t="shared" si="3"/>
        <v>2.5</v>
      </c>
      <c r="Y82" s="3">
        <f t="shared" si="4"/>
        <v>12.959999999999997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</row>
    <row r="83" spans="1:222" s="3" customFormat="1" ht="13.5" customHeight="1">
      <c r="A83" s="31">
        <v>79</v>
      </c>
      <c r="B83" s="108" t="s">
        <v>290</v>
      </c>
      <c r="C83" s="108"/>
      <c r="D83" s="108"/>
      <c r="E83" s="108"/>
      <c r="F83" s="108"/>
      <c r="G83" s="108"/>
      <c r="H83" s="108"/>
      <c r="I83" s="108"/>
      <c r="J83" s="108"/>
      <c r="K83" s="109"/>
      <c r="L83" s="31">
        <v>18</v>
      </c>
      <c r="M83" s="44">
        <f t="shared" si="0"/>
        <v>6.2353829072479581</v>
      </c>
      <c r="N83" s="108"/>
      <c r="O83"/>
      <c r="P83" s="7">
        <f t="shared" si="18"/>
        <v>15.91566265060241</v>
      </c>
      <c r="Q83" s="6"/>
      <c r="R83" s="6"/>
      <c r="S83" s="6"/>
      <c r="T83" s="6">
        <f t="shared" si="2"/>
        <v>2.0843373493975896</v>
      </c>
      <c r="U83" s="6"/>
      <c r="V83" s="6"/>
      <c r="W83" s="6"/>
      <c r="X83" s="3">
        <f t="shared" si="3"/>
        <v>1.6666666666666667</v>
      </c>
      <c r="Y83" s="3">
        <f t="shared" si="4"/>
        <v>29.159999999999993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</row>
    <row r="84" spans="1:222" s="3" customFormat="1" ht="13.5" customHeight="1">
      <c r="A84" s="31">
        <v>80</v>
      </c>
      <c r="B84" s="108" t="s">
        <v>291</v>
      </c>
      <c r="C84" s="108"/>
      <c r="D84" s="108"/>
      <c r="E84" s="108"/>
      <c r="F84" s="108"/>
      <c r="G84" s="108"/>
      <c r="H84" s="108"/>
      <c r="I84" s="108"/>
      <c r="J84" s="108"/>
      <c r="K84" s="109"/>
      <c r="L84" s="31">
        <v>16</v>
      </c>
      <c r="M84" s="44">
        <f t="shared" si="0"/>
        <v>5.5425625842204074</v>
      </c>
      <c r="N84" s="108"/>
      <c r="O84"/>
      <c r="P84" s="7">
        <f t="shared" si="18"/>
        <v>15.91566265060241</v>
      </c>
      <c r="Q84" s="6"/>
      <c r="R84" s="6"/>
      <c r="S84" s="6"/>
      <c r="T84" s="6">
        <f t="shared" si="2"/>
        <v>8.4337349397589634E-2</v>
      </c>
      <c r="U84" s="6"/>
      <c r="V84" s="6"/>
      <c r="W84" s="6"/>
      <c r="X84" s="3">
        <f t="shared" si="3"/>
        <v>1.875</v>
      </c>
      <c r="Y84" s="3">
        <f t="shared" si="4"/>
        <v>23.04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</row>
    <row r="85" spans="1:222" s="3" customFormat="1" ht="13.5" customHeight="1">
      <c r="A85" s="31">
        <v>81</v>
      </c>
      <c r="B85" s="108" t="s">
        <v>292</v>
      </c>
      <c r="C85" s="108"/>
      <c r="D85" s="108"/>
      <c r="E85" s="108"/>
      <c r="F85" s="108"/>
      <c r="G85" s="108"/>
      <c r="H85" s="108"/>
      <c r="I85" s="108"/>
      <c r="J85" s="108"/>
      <c r="K85" s="109"/>
      <c r="L85" s="31">
        <v>16</v>
      </c>
      <c r="M85" s="44">
        <f t="shared" si="0"/>
        <v>5.5425625842204074</v>
      </c>
      <c r="N85" s="108"/>
      <c r="O85"/>
      <c r="P85" s="7">
        <f t="shared" si="18"/>
        <v>15.91566265060241</v>
      </c>
      <c r="Q85" s="6"/>
      <c r="R85" s="6"/>
      <c r="S85" s="6"/>
      <c r="T85" s="6">
        <f t="shared" si="2"/>
        <v>8.4337349397589634E-2</v>
      </c>
      <c r="U85" s="6"/>
      <c r="V85" s="6"/>
      <c r="W85" s="6"/>
      <c r="X85" s="3">
        <f t="shared" si="3"/>
        <v>1.875</v>
      </c>
      <c r="Y85" s="3">
        <f t="shared" si="4"/>
        <v>23.04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</row>
    <row r="86" spans="1:222" s="3" customFormat="1" ht="13.5" customHeight="1">
      <c r="A86" s="31">
        <v>82</v>
      </c>
      <c r="B86" s="108" t="s">
        <v>293</v>
      </c>
      <c r="C86" s="108"/>
      <c r="D86" s="108"/>
      <c r="E86" s="108"/>
      <c r="F86" s="108"/>
      <c r="G86" s="108"/>
      <c r="H86" s="108"/>
      <c r="I86" s="108"/>
      <c r="J86" s="108"/>
      <c r="K86" s="109"/>
      <c r="L86" s="31">
        <v>16</v>
      </c>
      <c r="M86" s="44">
        <f t="shared" si="0"/>
        <v>5.5425625842204074</v>
      </c>
      <c r="N86" s="108"/>
      <c r="O86"/>
      <c r="P86" s="7">
        <f t="shared" si="18"/>
        <v>15.91566265060241</v>
      </c>
      <c r="Q86" s="6"/>
      <c r="R86" s="6"/>
      <c r="S86" s="6"/>
      <c r="T86" s="6">
        <f t="shared" si="2"/>
        <v>8.4337349397589634E-2</v>
      </c>
      <c r="U86" s="6"/>
      <c r="V86" s="6"/>
      <c r="W86" s="6"/>
      <c r="X86" s="3">
        <f t="shared" si="3"/>
        <v>1.875</v>
      </c>
      <c r="Y86" s="3">
        <f t="shared" si="4"/>
        <v>23.04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</row>
    <row r="87" spans="1:222" s="3" customFormat="1" ht="13.5" customHeight="1">
      <c r="A87" s="31">
        <v>83</v>
      </c>
      <c r="B87" s="108" t="s">
        <v>294</v>
      </c>
      <c r="C87" s="108"/>
      <c r="D87" s="108"/>
      <c r="E87" s="108"/>
      <c r="F87" s="108"/>
      <c r="G87" s="108"/>
      <c r="H87" s="108"/>
      <c r="I87" s="108"/>
      <c r="J87" s="108"/>
      <c r="K87" s="109"/>
      <c r="L87" s="31">
        <v>16</v>
      </c>
      <c r="M87" s="44">
        <f t="shared" si="0"/>
        <v>5.5425625842204074</v>
      </c>
      <c r="N87" s="108"/>
      <c r="O87"/>
      <c r="P87" s="7">
        <f t="shared" si="18"/>
        <v>15.91566265060241</v>
      </c>
      <c r="Q87" s="6"/>
      <c r="R87" s="6"/>
      <c r="S87" s="6"/>
      <c r="T87" s="6">
        <f t="shared" si="2"/>
        <v>8.4337349397589634E-2</v>
      </c>
      <c r="U87" s="6"/>
      <c r="V87" s="6"/>
      <c r="W87" s="6"/>
      <c r="X87" s="3">
        <f t="shared" si="3"/>
        <v>1.875</v>
      </c>
      <c r="Y87" s="3">
        <f t="shared" si="4"/>
        <v>23.04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</row>
    <row r="88" spans="1:222" s="29" customFormat="1" hidden="1">
      <c r="A88" s="31">
        <v>56</v>
      </c>
      <c r="B88" s="103" t="s">
        <v>110</v>
      </c>
      <c r="C88" s="104"/>
      <c r="D88" s="104"/>
      <c r="E88" s="104"/>
      <c r="F88" s="104"/>
      <c r="G88" s="104"/>
      <c r="H88" s="104"/>
      <c r="I88" s="104"/>
      <c r="J88" s="105"/>
      <c r="K88" s="40" t="s">
        <v>111</v>
      </c>
      <c r="L88" s="32">
        <f>AVERAGE(L5:L87)</f>
        <v>15.91566265060241</v>
      </c>
      <c r="M88" s="32">
        <f>(SUMXMY2(L5:L87,P5:P87)/83*82)^0.5</f>
        <v>16.162424949814401</v>
      </c>
      <c r="N88" s="46"/>
      <c r="O88"/>
      <c r="P88" s="7"/>
      <c r="Q88" s="33"/>
      <c r="R88" s="33"/>
      <c r="S88" s="33"/>
      <c r="T88" s="33"/>
      <c r="U88" s="33"/>
      <c r="V88" s="33"/>
      <c r="W88" s="33"/>
      <c r="X88" s="3">
        <f t="shared" ref="X88" si="23">30/L88</f>
        <v>1.8849356548069642</v>
      </c>
      <c r="Y88" s="3">
        <f t="shared" ref="Y88" si="24">(0.3*L88)^2</f>
        <v>22.797748584700248</v>
      </c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  <c r="HI88" s="33"/>
      <c r="HJ88" s="33"/>
      <c r="HK88" s="33"/>
      <c r="HL88" s="33"/>
      <c r="HM88" s="33"/>
    </row>
    <row r="89" spans="1:222" s="3" customFormat="1" ht="18.75" customHeight="1">
      <c r="A89" s="70" t="s">
        <v>296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/>
      <c r="Q89" s="7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</row>
    <row r="90" spans="1:222" s="3" customFormat="1" ht="3.7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7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</row>
    <row r="91" spans="1:222" s="3" customFormat="1" ht="39.75" customHeight="1">
      <c r="A91" s="106" t="s">
        <v>295</v>
      </c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/>
      <c r="P91" s="7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</row>
    <row r="92" spans="1:222" s="3" customFormat="1" ht="10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/>
      <c r="P92" s="7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</row>
    <row r="93" spans="1:222" s="3" customFormat="1" ht="12" customHeight="1">
      <c r="A93" s="3" t="s">
        <v>302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/>
      <c r="P93" s="7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</row>
    <row r="94" spans="1:222" s="3" customFormat="1" ht="12.75" customHeight="1">
      <c r="A94" s="107" t="s">
        <v>75</v>
      </c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30"/>
      <c r="O94"/>
      <c r="P94" s="7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</row>
    <row r="95" spans="1:222" s="3" customFormat="1" ht="3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/>
      <c r="P95" s="7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</row>
    <row r="96" spans="1:222" s="3" customFormat="1" ht="14.25" customHeight="1">
      <c r="A96" s="3" t="s">
        <v>303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/>
      <c r="P96" s="7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</row>
    <row r="97" spans="1:221" s="3" customFormat="1" ht="12.75" customHeight="1">
      <c r="A97" s="107" t="s">
        <v>75</v>
      </c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30"/>
      <c r="O97"/>
      <c r="P97" s="7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</row>
    <row r="98" spans="1:221" s="3" customFormat="1" ht="4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/>
      <c r="P98" s="7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</row>
    <row r="99" spans="1:221" s="3" customFormat="1" ht="12.75" customHeight="1">
      <c r="A99" s="95" t="s">
        <v>94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/>
      <c r="P99" s="7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</row>
    <row r="100" spans="1:221" s="3" customFormat="1" ht="12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/>
      <c r="P100" s="7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</row>
    <row r="101" spans="1:221" s="3" customForma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/>
      <c r="P101" s="7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</row>
    <row r="102" spans="1:221" ht="26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</row>
    <row r="103" spans="1:221" ht="19.5" hidden="1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</row>
    <row r="104" spans="1:221" ht="12.75" customHeight="1">
      <c r="A104" s="102" t="s">
        <v>123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41"/>
      <c r="P104" s="41"/>
      <c r="Q104" s="41"/>
      <c r="R104" s="41"/>
      <c r="S104" s="41"/>
      <c r="T104" s="41"/>
      <c r="U104" s="3"/>
      <c r="V104" s="3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</row>
    <row r="105" spans="1:221"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</row>
    <row r="106" spans="1:221"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</row>
    <row r="107" spans="1:221"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</row>
    <row r="108" spans="1:221"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</row>
    <row r="109" spans="1:221"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</row>
    <row r="110" spans="1:221"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</row>
    <row r="111" spans="1:221"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</row>
    <row r="112" spans="1:221"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</row>
    <row r="113" spans="16:221"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</row>
    <row r="114" spans="16:221"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</row>
    <row r="115" spans="16:221"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</row>
    <row r="116" spans="16:221"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</row>
    <row r="117" spans="16:221"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</row>
    <row r="118" spans="16:221"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</row>
    <row r="119" spans="16:221"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</row>
    <row r="120" spans="16:221"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</row>
    <row r="121" spans="16:221"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</row>
    <row r="122" spans="16:221"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</row>
    <row r="123" spans="16:221"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</row>
    <row r="124" spans="16:221"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</row>
    <row r="125" spans="16:221"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</row>
    <row r="126" spans="16:221"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</row>
    <row r="127" spans="16:221"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</row>
    <row r="128" spans="16:221"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</row>
    <row r="129" spans="16:221"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</row>
    <row r="130" spans="16:221"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</row>
    <row r="131" spans="16:221"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</row>
    <row r="132" spans="16:221"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</row>
    <row r="133" spans="16:221"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</row>
    <row r="134" spans="16:221"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</row>
    <row r="135" spans="16:221"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</row>
    <row r="136" spans="16:221"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</row>
    <row r="137" spans="16:221"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</row>
    <row r="138" spans="16:221"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</row>
    <row r="139" spans="16:221"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</row>
    <row r="140" spans="16:221"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</row>
    <row r="141" spans="16:221"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</row>
    <row r="142" spans="16:221"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</row>
    <row r="143" spans="16:221"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</row>
    <row r="144" spans="16:221"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</row>
    <row r="145" spans="16:221"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</row>
    <row r="146" spans="16:221"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</row>
    <row r="147" spans="16:221"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</row>
    <row r="148" spans="16:221"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</row>
    <row r="149" spans="16:221"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</row>
    <row r="150" spans="16:221"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</row>
    <row r="151" spans="16:221"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</row>
    <row r="152" spans="16:221"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</row>
    <row r="153" spans="16:221"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</row>
    <row r="154" spans="16:221"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</row>
    <row r="155" spans="16:221"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</row>
    <row r="156" spans="16:221"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</row>
    <row r="157" spans="16:221"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</row>
    <row r="158" spans="16:221"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</row>
    <row r="159" spans="16:221"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</row>
    <row r="160" spans="16:221"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</row>
    <row r="161" spans="16:221"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</row>
    <row r="162" spans="16:221"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</row>
    <row r="163" spans="16:221"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</row>
    <row r="164" spans="16:221"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</row>
    <row r="165" spans="16:221"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</row>
    <row r="166" spans="16:221"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</row>
    <row r="167" spans="16:221"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</row>
    <row r="168" spans="16:221"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</row>
    <row r="169" spans="16:221"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</row>
    <row r="170" spans="16:221"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</row>
    <row r="171" spans="16:221"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</row>
    <row r="172" spans="16:221"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</row>
    <row r="173" spans="16:221"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</row>
    <row r="174" spans="16:221"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</row>
    <row r="175" spans="16:221"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</row>
    <row r="176" spans="16:221"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</row>
    <row r="177" spans="16:221"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</row>
    <row r="178" spans="16:221"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</row>
    <row r="179" spans="16:221"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</row>
    <row r="180" spans="16:221"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</row>
    <row r="181" spans="16:221"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</row>
    <row r="182" spans="16:221"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</row>
    <row r="183" spans="16:221"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</row>
    <row r="184" spans="16:221"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</row>
    <row r="185" spans="16:221"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</row>
    <row r="186" spans="16:221"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</row>
    <row r="187" spans="16:221"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</row>
    <row r="188" spans="16:221"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</row>
    <row r="189" spans="16:221"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</row>
    <row r="190" spans="16:221"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</row>
    <row r="191" spans="16:221"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</row>
    <row r="192" spans="16:221"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</row>
    <row r="193" spans="16:221"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</row>
    <row r="194" spans="16:221"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</row>
    <row r="195" spans="16:221"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</row>
    <row r="196" spans="16:221"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</row>
    <row r="197" spans="16:221"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</row>
    <row r="198" spans="16:221"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</row>
    <row r="199" spans="16:221"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</row>
    <row r="200" spans="16:221"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</row>
    <row r="201" spans="16:221"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</row>
    <row r="202" spans="16:221"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</row>
    <row r="203" spans="16:221"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</row>
    <row r="204" spans="16:221"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</row>
    <row r="205" spans="16:221"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</row>
    <row r="206" spans="16:221"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</row>
    <row r="207" spans="16:221"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</row>
    <row r="208" spans="16:221"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</row>
    <row r="209" spans="16:221"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</row>
    <row r="210" spans="16:221"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</row>
    <row r="211" spans="16:221"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</row>
    <row r="212" spans="16:221"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</row>
    <row r="213" spans="16:221"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</row>
    <row r="214" spans="16:221"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</row>
    <row r="215" spans="16:221"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</row>
    <row r="216" spans="16:221"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</row>
    <row r="217" spans="16:221"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</row>
    <row r="218" spans="16:221"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</row>
    <row r="219" spans="16:221"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</row>
    <row r="220" spans="16:221"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</row>
    <row r="221" spans="16:221"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</row>
    <row r="222" spans="16:221"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</row>
    <row r="223" spans="16:221"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</row>
    <row r="224" spans="16:221"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</row>
    <row r="225" spans="16:221"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</row>
    <row r="226" spans="16:221"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</row>
    <row r="227" spans="16:221"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</row>
    <row r="228" spans="16:221"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</row>
    <row r="229" spans="16:221"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</row>
    <row r="230" spans="16:221"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</row>
    <row r="231" spans="16:221"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</row>
    <row r="232" spans="16:221"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</row>
    <row r="233" spans="16:221"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</row>
    <row r="234" spans="16:221"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</row>
    <row r="235" spans="16:221"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</row>
    <row r="236" spans="16:221"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</row>
    <row r="237" spans="16:221"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</row>
    <row r="238" spans="16:221"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</row>
    <row r="239" spans="16:221"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</row>
    <row r="240" spans="16:221"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</row>
    <row r="241" spans="16:221"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</row>
    <row r="242" spans="16:221"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</row>
    <row r="243" spans="16:221"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</row>
    <row r="244" spans="16:221"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</row>
    <row r="245" spans="16:221"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</row>
    <row r="246" spans="16:221"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</row>
    <row r="247" spans="16:221"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</row>
    <row r="248" spans="16:221"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</row>
    <row r="249" spans="16:221"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</row>
    <row r="250" spans="16:221"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</row>
    <row r="251" spans="16:221"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</row>
    <row r="252" spans="16:221"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</row>
    <row r="253" spans="16:221"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</row>
    <row r="254" spans="16:221"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</row>
    <row r="255" spans="16:221"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</row>
    <row r="256" spans="16:221"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</row>
    <row r="257" spans="16:221"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</row>
    <row r="258" spans="16:221"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</row>
    <row r="259" spans="16:221"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</row>
    <row r="260" spans="16:221"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</row>
    <row r="261" spans="16:221"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</row>
    <row r="262" spans="16:221"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</row>
    <row r="263" spans="16:221"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</row>
    <row r="264" spans="16:221"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</row>
    <row r="265" spans="16:221"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</row>
    <row r="266" spans="16:221"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</row>
    <row r="267" spans="16:221"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</row>
    <row r="268" spans="16:221"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</row>
    <row r="269" spans="16:221"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</row>
    <row r="270" spans="16:221"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</row>
    <row r="271" spans="16:221"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</row>
    <row r="272" spans="16:221"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</row>
    <row r="273" spans="16:221"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</row>
    <row r="274" spans="16:221"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</row>
    <row r="275" spans="16:221"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</row>
    <row r="276" spans="16:221"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</row>
    <row r="277" spans="16:221"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</row>
    <row r="278" spans="16:221"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</row>
    <row r="279" spans="16:221"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</row>
    <row r="280" spans="16:221"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</row>
    <row r="281" spans="16:221"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</row>
    <row r="282" spans="16:221"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</row>
    <row r="283" spans="16:221"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</row>
    <row r="284" spans="16:221"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</row>
    <row r="285" spans="16:221"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</row>
    <row r="286" spans="16:221"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</row>
    <row r="287" spans="16:221"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</row>
    <row r="288" spans="16:221"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</row>
    <row r="289" spans="16:221"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</row>
    <row r="290" spans="16:221"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</row>
    <row r="291" spans="16:221"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</row>
    <row r="292" spans="16:221"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</row>
    <row r="293" spans="16:221"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</row>
    <row r="294" spans="16:221"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</row>
    <row r="295" spans="16:221"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</row>
    <row r="296" spans="16:221"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</row>
    <row r="297" spans="16:221"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</row>
    <row r="298" spans="16:221"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</row>
    <row r="299" spans="16:221"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</row>
    <row r="300" spans="16:221"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</row>
    <row r="301" spans="16:221"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</row>
    <row r="302" spans="16:221"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</row>
    <row r="303" spans="16:221"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</row>
    <row r="304" spans="16:221"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</row>
    <row r="305" spans="16:221"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</row>
    <row r="306" spans="16:221"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</row>
    <row r="307" spans="16:221"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</row>
    <row r="308" spans="16:221"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</row>
    <row r="309" spans="16:221"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</row>
    <row r="310" spans="16:221"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</row>
    <row r="311" spans="16:221"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</row>
    <row r="312" spans="16:221"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</row>
    <row r="313" spans="16:221"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</row>
    <row r="314" spans="16:221"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</row>
    <row r="315" spans="16:221"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</row>
    <row r="316" spans="16:221"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</row>
    <row r="317" spans="16:221"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</row>
    <row r="318" spans="16:221"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</row>
    <row r="319" spans="16:221"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</row>
    <row r="320" spans="16:221"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</row>
    <row r="321" spans="16:221"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</row>
    <row r="322" spans="16:221"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</row>
    <row r="323" spans="16:221"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</row>
    <row r="324" spans="16:221"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</row>
    <row r="325" spans="16:221"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</row>
    <row r="326" spans="16:221"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</row>
    <row r="327" spans="16:221"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</row>
    <row r="328" spans="16:221"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</row>
    <row r="329" spans="16:221"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</row>
    <row r="330" spans="16:221"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</row>
    <row r="331" spans="16:221"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</row>
    <row r="332" spans="16:221"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</row>
    <row r="333" spans="16:221"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</row>
    <row r="334" spans="16:221"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</row>
    <row r="335" spans="16:221"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</row>
    <row r="336" spans="16:221"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</row>
    <row r="337" spans="16:221"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</row>
    <row r="338" spans="16:221"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</row>
    <row r="339" spans="16:221"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</row>
    <row r="340" spans="16:221"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</row>
    <row r="341" spans="16:221"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</row>
    <row r="342" spans="16:221"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</row>
    <row r="343" spans="16:221"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</row>
    <row r="344" spans="16:221"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</row>
    <row r="345" spans="16:221"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</row>
    <row r="346" spans="16:221"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</row>
    <row r="347" spans="16:221"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</row>
    <row r="348" spans="16:221"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</row>
    <row r="349" spans="16:221"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</row>
    <row r="350" spans="16:221"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</row>
    <row r="351" spans="16:221"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</row>
    <row r="352" spans="16:221"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</row>
    <row r="353" spans="16:221"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</row>
    <row r="354" spans="16:221"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</row>
    <row r="355" spans="16:221"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</row>
    <row r="356" spans="16:221"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</row>
    <row r="357" spans="16:221"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</row>
    <row r="358" spans="16:221"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</row>
    <row r="359" spans="16:221"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</row>
    <row r="360" spans="16:221"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</row>
    <row r="361" spans="16:221"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</row>
    <row r="362" spans="16:221"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</row>
    <row r="363" spans="16:221"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</row>
    <row r="364" spans="16:221"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</row>
    <row r="365" spans="16:221"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</row>
    <row r="366" spans="16:221"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</row>
    <row r="367" spans="16:221"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</row>
    <row r="368" spans="16:221"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</row>
    <row r="369" spans="16:221"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</row>
    <row r="370" spans="16:221"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</row>
    <row r="371" spans="16:221"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</row>
    <row r="372" spans="16:221"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</row>
    <row r="373" spans="16:221"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</row>
    <row r="374" spans="16:221"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</row>
    <row r="375" spans="16:221"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</row>
    <row r="376" spans="16:221"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</row>
    <row r="377" spans="16:221"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</row>
    <row r="378" spans="16:221"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</row>
    <row r="379" spans="16:221"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</row>
    <row r="380" spans="16:221"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</row>
    <row r="381" spans="16:221"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</row>
    <row r="382" spans="16:221"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</row>
    <row r="383" spans="16:221"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</row>
    <row r="384" spans="16:221"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</row>
    <row r="385" spans="16:221"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</row>
    <row r="386" spans="16:221"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</row>
    <row r="387" spans="16:221"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</row>
    <row r="388" spans="16:221"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</row>
    <row r="389" spans="16:221"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</row>
    <row r="390" spans="16:221"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</row>
    <row r="391" spans="16:221"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</row>
    <row r="392" spans="16:221"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</row>
    <row r="393" spans="16:221"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</row>
    <row r="394" spans="16:221"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</row>
    <row r="395" spans="16:221"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</row>
    <row r="396" spans="16:221"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</row>
    <row r="397" spans="16:221"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</row>
    <row r="398" spans="16:221"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</row>
    <row r="399" spans="16:221"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</row>
    <row r="400" spans="16:221"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</row>
    <row r="401" spans="16:221"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</row>
    <row r="402" spans="16:221"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</row>
    <row r="403" spans="16:221"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</row>
    <row r="404" spans="16:221"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</row>
    <row r="405" spans="16:221"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</row>
    <row r="406" spans="16:221"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</row>
    <row r="407" spans="16:221"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</row>
    <row r="408" spans="16:221"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</row>
    <row r="409" spans="16:221"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</row>
    <row r="410" spans="16:221"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</row>
    <row r="411" spans="16:221"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</row>
    <row r="412" spans="16:221"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</row>
    <row r="413" spans="16:221"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</row>
    <row r="414" spans="16:221"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</row>
    <row r="415" spans="16:221">
      <c r="P415" s="7"/>
    </row>
    <row r="416" spans="16:221">
      <c r="P416" s="7"/>
    </row>
    <row r="417" spans="16:16">
      <c r="P417" s="7"/>
    </row>
    <row r="418" spans="16:16">
      <c r="P418" s="7"/>
    </row>
    <row r="419" spans="16:16">
      <c r="P419" s="7"/>
    </row>
    <row r="420" spans="16:16">
      <c r="P420" s="7"/>
    </row>
    <row r="421" spans="16:16">
      <c r="P421" s="7"/>
    </row>
    <row r="422" spans="16:16">
      <c r="P422" s="7"/>
    </row>
    <row r="423" spans="16:16">
      <c r="P423" s="7"/>
    </row>
    <row r="424" spans="16:16">
      <c r="P424" s="7"/>
    </row>
    <row r="425" spans="16:16">
      <c r="P425" s="7"/>
    </row>
    <row r="426" spans="16:16">
      <c r="P426" s="7"/>
    </row>
    <row r="427" spans="16:16">
      <c r="P427" s="7"/>
    </row>
    <row r="428" spans="16:16">
      <c r="P428" s="7"/>
    </row>
    <row r="429" spans="16:16">
      <c r="P429" s="7"/>
    </row>
    <row r="430" spans="16:16">
      <c r="P430" s="7"/>
    </row>
    <row r="431" spans="16:16">
      <c r="P431" s="7"/>
    </row>
    <row r="432" spans="16:16">
      <c r="P432" s="7"/>
    </row>
    <row r="433" spans="16:16">
      <c r="P433" s="7"/>
    </row>
    <row r="434" spans="16:16">
      <c r="P434" s="7"/>
    </row>
    <row r="435" spans="16:16">
      <c r="P435" s="7"/>
    </row>
    <row r="436" spans="16:16">
      <c r="P436" s="7"/>
    </row>
    <row r="437" spans="16:16">
      <c r="P437" s="7"/>
    </row>
    <row r="438" spans="16:16">
      <c r="P438" s="7"/>
    </row>
    <row r="439" spans="16:16">
      <c r="P439" s="7"/>
    </row>
    <row r="440" spans="16:16">
      <c r="P440" s="7"/>
    </row>
    <row r="441" spans="16:16">
      <c r="P441" s="7"/>
    </row>
    <row r="442" spans="16:16">
      <c r="P442" s="7"/>
    </row>
    <row r="443" spans="16:16">
      <c r="P443" s="7"/>
    </row>
    <row r="444" spans="16:16">
      <c r="P444" s="7"/>
    </row>
    <row r="445" spans="16:16">
      <c r="P445" s="7"/>
    </row>
    <row r="446" spans="16:16">
      <c r="P446" s="7"/>
    </row>
    <row r="447" spans="16:16">
      <c r="P447" s="7"/>
    </row>
    <row r="448" spans="16:16">
      <c r="P448" s="7"/>
    </row>
    <row r="449" spans="16:16">
      <c r="P449" s="7"/>
    </row>
    <row r="450" spans="16:16">
      <c r="P450" s="7"/>
    </row>
    <row r="451" spans="16:16">
      <c r="P451" s="7"/>
    </row>
    <row r="452" spans="16:16">
      <c r="P452" s="7"/>
    </row>
    <row r="453" spans="16:16">
      <c r="P453" s="7"/>
    </row>
    <row r="454" spans="16:16">
      <c r="P454" s="7"/>
    </row>
    <row r="455" spans="16:16">
      <c r="P455" s="7"/>
    </row>
    <row r="456" spans="16:16">
      <c r="P456" s="7"/>
    </row>
    <row r="457" spans="16:16">
      <c r="P457" s="7"/>
    </row>
    <row r="458" spans="16:16">
      <c r="P458" s="7"/>
    </row>
    <row r="459" spans="16:16">
      <c r="P459" s="7"/>
    </row>
    <row r="460" spans="16:16">
      <c r="P460" s="7"/>
    </row>
    <row r="461" spans="16:16">
      <c r="P461" s="7"/>
    </row>
    <row r="462" spans="16:16">
      <c r="P462" s="7"/>
    </row>
    <row r="463" spans="16:16">
      <c r="P463" s="7"/>
    </row>
    <row r="464" spans="16:16">
      <c r="P464" s="7"/>
    </row>
    <row r="465" spans="16:16">
      <c r="P465" s="7"/>
    </row>
    <row r="466" spans="16:16">
      <c r="P466" s="7"/>
    </row>
    <row r="467" spans="16:16">
      <c r="P467" s="7"/>
    </row>
    <row r="468" spans="16:16">
      <c r="P468" s="7"/>
    </row>
    <row r="469" spans="16:16">
      <c r="P469" s="7"/>
    </row>
    <row r="470" spans="16:16">
      <c r="P470" s="7"/>
    </row>
    <row r="471" spans="16:16">
      <c r="P471" s="7"/>
    </row>
    <row r="472" spans="16:16">
      <c r="P472" s="7"/>
    </row>
    <row r="473" spans="16:16">
      <c r="P473" s="7"/>
    </row>
    <row r="474" spans="16:16">
      <c r="P474" s="7"/>
    </row>
    <row r="475" spans="16:16">
      <c r="P475" s="7"/>
    </row>
    <row r="476" spans="16:16">
      <c r="P476" s="7"/>
    </row>
    <row r="477" spans="16:16">
      <c r="P477" s="7"/>
    </row>
    <row r="478" spans="16:16">
      <c r="P478" s="7"/>
    </row>
    <row r="479" spans="16:16">
      <c r="P479" s="7"/>
    </row>
    <row r="480" spans="16:16">
      <c r="P480" s="7"/>
    </row>
    <row r="481" spans="16:16">
      <c r="P481" s="7"/>
    </row>
    <row r="482" spans="16:16">
      <c r="P482" s="7"/>
    </row>
    <row r="483" spans="16:16">
      <c r="P483" s="7"/>
    </row>
    <row r="484" spans="16:16">
      <c r="P484" s="7"/>
    </row>
    <row r="485" spans="16:16">
      <c r="P485" s="7"/>
    </row>
    <row r="486" spans="16:16">
      <c r="P486" s="7"/>
    </row>
    <row r="487" spans="16:16">
      <c r="P487" s="7"/>
    </row>
    <row r="488" spans="16:16">
      <c r="P488" s="7"/>
    </row>
    <row r="489" spans="16:16">
      <c r="P489" s="7"/>
    </row>
    <row r="490" spans="16:16">
      <c r="P490" s="7"/>
    </row>
    <row r="491" spans="16:16">
      <c r="P491" s="7"/>
    </row>
    <row r="492" spans="16:16">
      <c r="P492" s="7"/>
    </row>
    <row r="493" spans="16:16">
      <c r="P493" s="7"/>
    </row>
    <row r="494" spans="16:16">
      <c r="P494" s="7"/>
    </row>
    <row r="495" spans="16:16">
      <c r="P495" s="7"/>
    </row>
    <row r="496" spans="16:16">
      <c r="P496" s="7"/>
    </row>
    <row r="497" spans="16:16">
      <c r="P497" s="7"/>
    </row>
    <row r="498" spans="16:16">
      <c r="P498" s="7"/>
    </row>
    <row r="499" spans="16:16">
      <c r="P499" s="7"/>
    </row>
    <row r="500" spans="16:16">
      <c r="P500" s="7"/>
    </row>
    <row r="501" spans="16:16">
      <c r="P501" s="7"/>
    </row>
    <row r="502" spans="16:16">
      <c r="P502" s="7"/>
    </row>
    <row r="503" spans="16:16">
      <c r="P503" s="7"/>
    </row>
    <row r="504" spans="16:16">
      <c r="P504" s="7"/>
    </row>
    <row r="505" spans="16:16">
      <c r="P505" s="7"/>
    </row>
    <row r="506" spans="16:16">
      <c r="P506" s="7"/>
    </row>
    <row r="507" spans="16:16">
      <c r="P507" s="7"/>
    </row>
    <row r="508" spans="16:16">
      <c r="P508" s="7"/>
    </row>
    <row r="509" spans="16:16">
      <c r="P509" s="7"/>
    </row>
    <row r="510" spans="16:16">
      <c r="P510" s="7"/>
    </row>
    <row r="511" spans="16:16">
      <c r="P511" s="7"/>
    </row>
    <row r="512" spans="16:16">
      <c r="P512" s="7"/>
    </row>
    <row r="513" spans="16:16">
      <c r="P513" s="7"/>
    </row>
    <row r="514" spans="16:16">
      <c r="P514" s="7"/>
    </row>
    <row r="515" spans="16:16">
      <c r="P515" s="7"/>
    </row>
    <row r="516" spans="16:16">
      <c r="P516" s="7"/>
    </row>
    <row r="517" spans="16:16">
      <c r="P517" s="7"/>
    </row>
    <row r="518" spans="16:16">
      <c r="P518" s="7"/>
    </row>
    <row r="519" spans="16:16">
      <c r="P519" s="7"/>
    </row>
    <row r="520" spans="16:16">
      <c r="P520" s="7"/>
    </row>
    <row r="521" spans="16:16">
      <c r="P521" s="7"/>
    </row>
    <row r="522" spans="16:16">
      <c r="P522" s="7"/>
    </row>
    <row r="523" spans="16:16">
      <c r="P523" s="7"/>
    </row>
    <row r="524" spans="16:16">
      <c r="P524" s="7"/>
    </row>
    <row r="525" spans="16:16">
      <c r="P525" s="7"/>
    </row>
    <row r="526" spans="16:16">
      <c r="P526" s="7"/>
    </row>
    <row r="527" spans="16:16">
      <c r="P527" s="7"/>
    </row>
    <row r="528" spans="16:16">
      <c r="P528" s="7"/>
    </row>
    <row r="529" spans="16:16">
      <c r="P529" s="7"/>
    </row>
    <row r="530" spans="16:16">
      <c r="P530" s="7"/>
    </row>
    <row r="531" spans="16:16">
      <c r="P531" s="7"/>
    </row>
    <row r="532" spans="16:16">
      <c r="P532" s="7"/>
    </row>
    <row r="533" spans="16:16">
      <c r="P533" s="7"/>
    </row>
    <row r="534" spans="16:16">
      <c r="P534" s="7"/>
    </row>
    <row r="535" spans="16:16">
      <c r="P535" s="7"/>
    </row>
    <row r="536" spans="16:16">
      <c r="P536" s="7"/>
    </row>
    <row r="537" spans="16:16">
      <c r="P537" s="7"/>
    </row>
  </sheetData>
  <mergeCells count="100">
    <mergeCell ref="N5:N31"/>
    <mergeCell ref="N32:N67"/>
    <mergeCell ref="N68:N87"/>
    <mergeCell ref="K69:K87"/>
    <mergeCell ref="K5:K24"/>
    <mergeCell ref="K25:K31"/>
    <mergeCell ref="K32:K46"/>
    <mergeCell ref="K47:K67"/>
    <mergeCell ref="B15:J15"/>
    <mergeCell ref="B16:J16"/>
    <mergeCell ref="B17:J17"/>
    <mergeCell ref="B18:J18"/>
    <mergeCell ref="B19:J19"/>
    <mergeCell ref="B10:J10"/>
    <mergeCell ref="B11:J11"/>
    <mergeCell ref="B12:J12"/>
    <mergeCell ref="B13:J13"/>
    <mergeCell ref="B14:J14"/>
    <mergeCell ref="B25:J25"/>
    <mergeCell ref="B26:J26"/>
    <mergeCell ref="B27:J27"/>
    <mergeCell ref="B28:J28"/>
    <mergeCell ref="B29:J29"/>
    <mergeCell ref="B20:J20"/>
    <mergeCell ref="B21:J21"/>
    <mergeCell ref="B22:J22"/>
    <mergeCell ref="B23:J23"/>
    <mergeCell ref="B24:J24"/>
    <mergeCell ref="B35:J35"/>
    <mergeCell ref="B36:J36"/>
    <mergeCell ref="B37:J37"/>
    <mergeCell ref="B38:J38"/>
    <mergeCell ref="B39:J39"/>
    <mergeCell ref="B30:J30"/>
    <mergeCell ref="B31:J31"/>
    <mergeCell ref="B32:J32"/>
    <mergeCell ref="B33:J33"/>
    <mergeCell ref="B34:J34"/>
    <mergeCell ref="B45:J45"/>
    <mergeCell ref="B46:J46"/>
    <mergeCell ref="B47:J47"/>
    <mergeCell ref="B48:J48"/>
    <mergeCell ref="B49:J49"/>
    <mergeCell ref="B40:J40"/>
    <mergeCell ref="B41:J41"/>
    <mergeCell ref="B42:J42"/>
    <mergeCell ref="B43:J43"/>
    <mergeCell ref="B44:J44"/>
    <mergeCell ref="B66:J66"/>
    <mergeCell ref="B67:J67"/>
    <mergeCell ref="B68:J68"/>
    <mergeCell ref="B69:J6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1:J61"/>
    <mergeCell ref="B62:J62"/>
    <mergeCell ref="B63:J63"/>
    <mergeCell ref="B64:J64"/>
    <mergeCell ref="B65:J65"/>
    <mergeCell ref="B3:J3"/>
    <mergeCell ref="B4:J4"/>
    <mergeCell ref="B5:J5"/>
    <mergeCell ref="B6:J6"/>
    <mergeCell ref="B7:J7"/>
    <mergeCell ref="B8:J8"/>
    <mergeCell ref="B9:J9"/>
    <mergeCell ref="B80:J80"/>
    <mergeCell ref="B81:J81"/>
    <mergeCell ref="B82:J82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60:J60"/>
    <mergeCell ref="B83:J83"/>
    <mergeCell ref="B84:J84"/>
    <mergeCell ref="B85:J85"/>
    <mergeCell ref="B86:J86"/>
    <mergeCell ref="B87:J87"/>
    <mergeCell ref="A104:N104"/>
    <mergeCell ref="A99:N103"/>
    <mergeCell ref="B88:J88"/>
    <mergeCell ref="A91:N91"/>
    <mergeCell ref="A94:M94"/>
    <mergeCell ref="A97:M97"/>
    <mergeCell ref="A89:O89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 differentFirst="1">
    <oddFooter>&amp;R&amp;"Arial,обычный"&amp;9&amp;K000000Протокол от 24 декабря 2025 г. № 41/26.11.25-1-Р/25
Общее количество страниц &amp;N Страница &amp;P</oddFooter>
    <firstFooter>&amp;R&amp;"Arial,обычный"&amp;9Протокол от 24 декабря 2025 г. № 41/26.11.25-1-Р/25
Общее количество страниц &amp;N Страница &amp;P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2"/>
  <sheetViews>
    <sheetView workbookViewId="0">
      <selection activeCell="P7" sqref="P7:P33"/>
    </sheetView>
  </sheetViews>
  <sheetFormatPr defaultRowHeight="15"/>
  <cols>
    <col min="8" max="8" width="19" customWidth="1"/>
    <col min="9" max="9" width="10.28515625" customWidth="1"/>
    <col min="10" max="10" width="8.5703125" customWidth="1"/>
    <col min="11" max="11" width="9" customWidth="1"/>
    <col min="12" max="12" width="10.28515625" customWidth="1"/>
    <col min="13" max="13" width="8.5703125" customWidth="1"/>
    <col min="14" max="14" width="9" customWidth="1"/>
    <col min="15" max="15" width="2.7109375" customWidth="1"/>
    <col min="16" max="22" width="6.42578125" customWidth="1"/>
  </cols>
  <sheetData>
    <row r="1" spans="1:25" ht="16.5" thickBot="1">
      <c r="A1" s="8">
        <v>2</v>
      </c>
      <c r="B1" s="9">
        <v>4</v>
      </c>
      <c r="C1" s="9">
        <v>8</v>
      </c>
      <c r="D1" s="9">
        <v>16</v>
      </c>
      <c r="E1" s="9">
        <v>31.5</v>
      </c>
      <c r="F1" s="10">
        <v>63</v>
      </c>
      <c r="G1" s="1" t="s">
        <v>58</v>
      </c>
    </row>
    <row r="2" spans="1:25" ht="15.75">
      <c r="A2" s="11">
        <v>72</v>
      </c>
      <c r="B2" s="12">
        <v>73</v>
      </c>
      <c r="C2" s="12">
        <v>75</v>
      </c>
      <c r="D2" s="12">
        <v>81</v>
      </c>
      <c r="E2" s="12">
        <v>87</v>
      </c>
      <c r="F2" s="12">
        <v>93</v>
      </c>
      <c r="G2" s="13">
        <v>72</v>
      </c>
    </row>
    <row r="3" spans="1:25" ht="15.75">
      <c r="A3" s="11">
        <v>80</v>
      </c>
      <c r="B3" s="11">
        <v>81</v>
      </c>
      <c r="C3" s="11">
        <v>83</v>
      </c>
      <c r="D3" s="11">
        <v>89</v>
      </c>
      <c r="E3" s="11">
        <v>95</v>
      </c>
      <c r="F3" s="11">
        <v>101</v>
      </c>
      <c r="G3" s="13">
        <v>80</v>
      </c>
      <c r="J3">
        <v>1</v>
      </c>
    </row>
    <row r="4" spans="1:25">
      <c r="A4" s="14">
        <v>12</v>
      </c>
      <c r="B4" s="14">
        <v>0.1</v>
      </c>
      <c r="C4" s="14">
        <v>0.1</v>
      </c>
      <c r="D4" s="14">
        <v>0.1</v>
      </c>
      <c r="E4" s="14">
        <v>0.1</v>
      </c>
      <c r="F4" s="14">
        <v>0.1</v>
      </c>
      <c r="G4" s="14">
        <v>0.1</v>
      </c>
      <c r="P4">
        <v>1</v>
      </c>
      <c r="R4">
        <v>1</v>
      </c>
      <c r="S4">
        <v>1</v>
      </c>
    </row>
    <row r="5" spans="1:25">
      <c r="A5" s="15">
        <v>21</v>
      </c>
      <c r="B5" s="15">
        <v>0.18</v>
      </c>
      <c r="C5" s="15">
        <v>0.14000000000000001</v>
      </c>
      <c r="D5" s="15">
        <v>0.19</v>
      </c>
      <c r="E5" s="15">
        <v>0.15</v>
      </c>
      <c r="F5" s="15">
        <v>0.17</v>
      </c>
      <c r="G5" s="15">
        <v>0.21</v>
      </c>
      <c r="V5">
        <v>1</v>
      </c>
      <c r="W5">
        <v>1</v>
      </c>
    </row>
    <row r="6" spans="1:25" ht="15.75">
      <c r="A6" s="16"/>
      <c r="B6" s="17"/>
      <c r="C6" s="17"/>
      <c r="D6" s="17"/>
      <c r="E6" s="17"/>
      <c r="F6" s="17"/>
      <c r="G6" s="17"/>
      <c r="I6" t="s">
        <v>59</v>
      </c>
      <c r="J6" t="s">
        <v>60</v>
      </c>
      <c r="K6" t="s">
        <v>61</v>
      </c>
      <c r="L6" t="s">
        <v>59</v>
      </c>
      <c r="M6" t="s">
        <v>60</v>
      </c>
      <c r="N6" t="s">
        <v>61</v>
      </c>
    </row>
    <row r="7" spans="1:25">
      <c r="A7" s="7">
        <f t="shared" ref="A7:A70" ca="1" si="0">RAND()*($A$5-$A$4)+$A$4</f>
        <v>20.066781185207137</v>
      </c>
      <c r="B7" s="7">
        <f ca="1">RAND()*($B$5-$B$4)+$B$4</f>
        <v>0.10573397234854531</v>
      </c>
      <c r="C7" s="7">
        <f ca="1">RAND()*($C$5-$C$4)+$C$4</f>
        <v>0.11441341590383519</v>
      </c>
      <c r="D7" s="7">
        <f ca="1">RAND()*($D$5-$D$4)+$D$4</f>
        <v>0.10957525904575792</v>
      </c>
      <c r="E7" s="7">
        <f ca="1">RAND()*($E$5-$E$4)+$E$4</f>
        <v>0.12354286650207938</v>
      </c>
      <c r="F7" s="7">
        <f ca="1">RAND()*($F$5-$F$4)+$F$4</f>
        <v>0.11419689919464862</v>
      </c>
      <c r="G7" s="7">
        <f ca="1">RAND()*($G$5-$G$4)+$G$4</f>
        <v>0.16370589009258177</v>
      </c>
      <c r="H7" s="5">
        <v>1</v>
      </c>
      <c r="I7" s="7">
        <f ca="1">MIN(A7:G7)</f>
        <v>0.10573397234854531</v>
      </c>
      <c r="J7" s="7">
        <f ca="1">MAX(A7:G7)</f>
        <v>20.066781185207137</v>
      </c>
      <c r="K7" s="7">
        <f ca="1">AVERAGE(A7:G7)</f>
        <v>2.971135641184941</v>
      </c>
      <c r="L7" s="7">
        <f ca="1">ROUND(I7, 2)</f>
        <v>0.11</v>
      </c>
      <c r="M7" s="7">
        <f ca="1">ROUND(J7, 2)</f>
        <v>20.07</v>
      </c>
      <c r="N7" s="7">
        <f ca="1">ROUND(K7, 2)</f>
        <v>2.97</v>
      </c>
      <c r="O7" s="18"/>
      <c r="P7" s="5">
        <f ca="1">ROUND(A7,0)</f>
        <v>20</v>
      </c>
      <c r="Q7" s="7">
        <f ca="1">ROUND(B7,2)</f>
        <v>0.11</v>
      </c>
      <c r="R7" s="5">
        <f t="shared" ref="Q7:V22" ca="1" si="1">ROUND(C7,-1)</f>
        <v>0</v>
      </c>
      <c r="S7" s="5">
        <f t="shared" ca="1" si="1"/>
        <v>0</v>
      </c>
      <c r="T7" s="5">
        <f t="shared" ca="1" si="1"/>
        <v>0</v>
      </c>
      <c r="U7" s="5">
        <f t="shared" ca="1" si="1"/>
        <v>0</v>
      </c>
      <c r="V7" s="5">
        <f t="shared" ca="1" si="1"/>
        <v>0</v>
      </c>
    </row>
    <row r="8" spans="1:25">
      <c r="A8" s="7">
        <f t="shared" ca="1" si="0"/>
        <v>16.567209753773032</v>
      </c>
      <c r="B8" s="7">
        <f t="shared" ref="B8:B71" ca="1" si="2">RAND()*($B$5-$B$4)+$B$4</f>
        <v>0.11374484577872619</v>
      </c>
      <c r="C8" s="7">
        <f t="shared" ref="C8:C71" ca="1" si="3">RAND()*($C$5-$C$4)+$C$4</f>
        <v>0.12028105783070145</v>
      </c>
      <c r="D8" s="7">
        <f t="shared" ref="D8:D71" ca="1" si="4">RAND()*($D$5-$D$4)+$D$4</f>
        <v>0.18967067861436798</v>
      </c>
      <c r="E8" s="7">
        <f t="shared" ref="E8:E71" ca="1" si="5">RAND()*($E$5-$E$4)+$E$4</f>
        <v>0.1103863561283548</v>
      </c>
      <c r="F8" s="7">
        <f t="shared" ref="F8:F71" ca="1" si="6">RAND()*($F$5-$F$4)+$F$4</f>
        <v>0.11832646733049268</v>
      </c>
      <c r="G8" s="7">
        <f t="shared" ref="G8:G71" ca="1" si="7">RAND()*($G$5-$G$4)+$G$4</f>
        <v>0.16849745310056463</v>
      </c>
      <c r="H8">
        <v>2</v>
      </c>
      <c r="I8" s="7">
        <f t="shared" ref="I8:I71" ca="1" si="8">MIN(A8:G8)</f>
        <v>0.1103863561283548</v>
      </c>
      <c r="J8" s="7">
        <f t="shared" ref="J8:J71" ca="1" si="9">MAX(A8:G8)</f>
        <v>16.567209753773032</v>
      </c>
      <c r="K8" s="7">
        <f t="shared" ref="K8:K71" ca="1" si="10">AVERAGE(A8:G8)</f>
        <v>2.4840166589366062</v>
      </c>
      <c r="L8" s="7">
        <f t="shared" ref="L8:N56" ca="1" si="11">ROUND(I8, 2)</f>
        <v>0.11</v>
      </c>
      <c r="M8" s="7">
        <f t="shared" ca="1" si="11"/>
        <v>16.57</v>
      </c>
      <c r="N8" s="7">
        <f t="shared" ca="1" si="11"/>
        <v>2.48</v>
      </c>
      <c r="O8" s="18"/>
      <c r="P8" s="5">
        <f t="shared" ref="P8:P40" ca="1" si="12">ROUND(A8,0)</f>
        <v>17</v>
      </c>
      <c r="Q8" s="7">
        <f t="shared" ref="Q8:Q20" ca="1" si="13">ROUND(B8,2)</f>
        <v>0.11</v>
      </c>
      <c r="R8" s="5">
        <f t="shared" ca="1" si="1"/>
        <v>0</v>
      </c>
      <c r="S8" s="5">
        <f t="shared" ca="1" si="1"/>
        <v>0</v>
      </c>
      <c r="T8" s="5">
        <f t="shared" ca="1" si="1"/>
        <v>0</v>
      </c>
      <c r="U8" s="5">
        <f t="shared" ca="1" si="1"/>
        <v>0</v>
      </c>
      <c r="V8" s="5">
        <f t="shared" ca="1" si="1"/>
        <v>0</v>
      </c>
    </row>
    <row r="9" spans="1:25">
      <c r="A9" s="7">
        <f t="shared" ca="1" si="0"/>
        <v>15.375339847563108</v>
      </c>
      <c r="B9" s="7">
        <f t="shared" ca="1" si="2"/>
        <v>0.17916641752387577</v>
      </c>
      <c r="C9" s="7">
        <f t="shared" ca="1" si="3"/>
        <v>0.11586463693027776</v>
      </c>
      <c r="D9" s="7">
        <f t="shared" ca="1" si="4"/>
        <v>0.13610215392215513</v>
      </c>
      <c r="E9" s="7">
        <f t="shared" ca="1" si="5"/>
        <v>0.13935533765406904</v>
      </c>
      <c r="F9" s="7">
        <f t="shared" ca="1" si="6"/>
        <v>0.13084694093459187</v>
      </c>
      <c r="G9" s="7">
        <f t="shared" ca="1" si="7"/>
        <v>0.18091785256125537</v>
      </c>
      <c r="H9" s="5">
        <v>3</v>
      </c>
      <c r="I9" s="7">
        <f t="shared" ca="1" si="8"/>
        <v>0.11586463693027776</v>
      </c>
      <c r="J9" s="7">
        <f t="shared" ca="1" si="9"/>
        <v>15.375339847563108</v>
      </c>
      <c r="K9" s="7">
        <f t="shared" ca="1" si="10"/>
        <v>2.3225133124413331</v>
      </c>
      <c r="L9" s="7">
        <f t="shared" ca="1" si="11"/>
        <v>0.12</v>
      </c>
      <c r="M9" s="7">
        <f t="shared" ca="1" si="11"/>
        <v>15.38</v>
      </c>
      <c r="N9" s="7">
        <f t="shared" ca="1" si="11"/>
        <v>2.3199999999999998</v>
      </c>
      <c r="O9" s="18"/>
      <c r="P9" s="5">
        <f t="shared" ca="1" si="12"/>
        <v>15</v>
      </c>
      <c r="Q9" s="7">
        <f t="shared" ca="1" si="13"/>
        <v>0.18</v>
      </c>
      <c r="R9" s="5">
        <f t="shared" ca="1" si="1"/>
        <v>0</v>
      </c>
      <c r="S9" s="5">
        <f t="shared" ca="1" si="1"/>
        <v>0</v>
      </c>
      <c r="T9" s="5">
        <f t="shared" ca="1" si="1"/>
        <v>0</v>
      </c>
      <c r="U9" s="5">
        <f t="shared" ca="1" si="1"/>
        <v>0</v>
      </c>
      <c r="V9" s="5">
        <f t="shared" ca="1" si="1"/>
        <v>0</v>
      </c>
    </row>
    <row r="10" spans="1:25">
      <c r="A10" s="7">
        <f t="shared" ca="1" si="0"/>
        <v>15.731640081546903</v>
      </c>
      <c r="B10" s="7">
        <f t="shared" ca="1" si="2"/>
        <v>0.13750381170519854</v>
      </c>
      <c r="C10" s="7">
        <f t="shared" ca="1" si="3"/>
        <v>0.13941293832926155</v>
      </c>
      <c r="D10" s="7">
        <f t="shared" ca="1" si="4"/>
        <v>0.18118197192439003</v>
      </c>
      <c r="E10" s="7">
        <f t="shared" ca="1" si="5"/>
        <v>0.11565604897636324</v>
      </c>
      <c r="F10" s="7">
        <f t="shared" ca="1" si="6"/>
        <v>0.14098396246141587</v>
      </c>
      <c r="G10" s="7">
        <f t="shared" ca="1" si="7"/>
        <v>0.17609378347751314</v>
      </c>
      <c r="H10">
        <v>4</v>
      </c>
      <c r="I10" s="7">
        <f t="shared" ca="1" si="8"/>
        <v>0.11565604897636324</v>
      </c>
      <c r="J10" s="7">
        <f t="shared" ca="1" si="9"/>
        <v>15.731640081546903</v>
      </c>
      <c r="K10" s="7">
        <f t="shared" ca="1" si="10"/>
        <v>2.3746389426315773</v>
      </c>
      <c r="L10" s="7">
        <f t="shared" ca="1" si="11"/>
        <v>0.12</v>
      </c>
      <c r="M10" s="7">
        <f t="shared" ca="1" si="11"/>
        <v>15.73</v>
      </c>
      <c r="N10" s="7">
        <f t="shared" ca="1" si="11"/>
        <v>2.37</v>
      </c>
      <c r="O10" s="18"/>
      <c r="P10" s="5">
        <f t="shared" ca="1" si="12"/>
        <v>16</v>
      </c>
      <c r="Q10" s="7">
        <f t="shared" ca="1" si="13"/>
        <v>0.14000000000000001</v>
      </c>
      <c r="R10" s="5">
        <f t="shared" ca="1" si="1"/>
        <v>0</v>
      </c>
      <c r="S10" s="5">
        <f t="shared" ca="1" si="1"/>
        <v>0</v>
      </c>
      <c r="T10" s="5">
        <f t="shared" ca="1" si="1"/>
        <v>0</v>
      </c>
      <c r="U10" s="5">
        <f t="shared" ca="1" si="1"/>
        <v>0</v>
      </c>
      <c r="V10" s="5">
        <f t="shared" ca="1" si="1"/>
        <v>0</v>
      </c>
    </row>
    <row r="11" spans="1:25">
      <c r="A11" s="7">
        <f t="shared" ca="1" si="0"/>
        <v>13.262755436692158</v>
      </c>
      <c r="B11" s="7">
        <f t="shared" ca="1" si="2"/>
        <v>0.13684051846539097</v>
      </c>
      <c r="C11" s="7">
        <f t="shared" ca="1" si="3"/>
        <v>0.13869725616988768</v>
      </c>
      <c r="D11" s="7">
        <f t="shared" ca="1" si="4"/>
        <v>0.11923894364916814</v>
      </c>
      <c r="E11" s="7">
        <f t="shared" ca="1" si="5"/>
        <v>0.12096882354862429</v>
      </c>
      <c r="F11" s="7">
        <f t="shared" ca="1" si="6"/>
        <v>0.12512471758224541</v>
      </c>
      <c r="G11" s="7">
        <f t="shared" ca="1" si="7"/>
        <v>0.13862001645396438</v>
      </c>
      <c r="H11" s="5">
        <v>5</v>
      </c>
      <c r="I11" s="7">
        <f t="shared" ca="1" si="8"/>
        <v>0.11923894364916814</v>
      </c>
      <c r="J11" s="7">
        <f t="shared" ca="1" si="9"/>
        <v>13.262755436692158</v>
      </c>
      <c r="K11" s="7">
        <f t="shared" ca="1" si="10"/>
        <v>2.0060351017944913</v>
      </c>
      <c r="L11" s="7">
        <f t="shared" ca="1" si="11"/>
        <v>0.12</v>
      </c>
      <c r="M11" s="7">
        <f t="shared" ca="1" si="11"/>
        <v>13.26</v>
      </c>
      <c r="N11" s="7">
        <f t="shared" ca="1" si="11"/>
        <v>2.0099999999999998</v>
      </c>
      <c r="O11" s="18"/>
      <c r="P11" s="5">
        <f t="shared" ca="1" si="12"/>
        <v>13</v>
      </c>
      <c r="Q11" s="7">
        <f t="shared" ca="1" si="13"/>
        <v>0.14000000000000001</v>
      </c>
      <c r="R11" s="5">
        <f t="shared" ca="1" si="1"/>
        <v>0</v>
      </c>
      <c r="S11" s="5">
        <f t="shared" ca="1" si="1"/>
        <v>0</v>
      </c>
      <c r="T11" s="5">
        <f t="shared" ca="1" si="1"/>
        <v>0</v>
      </c>
      <c r="U11" s="5">
        <f t="shared" ca="1" si="1"/>
        <v>0</v>
      </c>
      <c r="V11" s="5">
        <f t="shared" ca="1" si="1"/>
        <v>0</v>
      </c>
    </row>
    <row r="12" spans="1:25">
      <c r="A12" s="7">
        <f t="shared" ca="1" si="0"/>
        <v>17.976292125456503</v>
      </c>
      <c r="B12" s="7">
        <f t="shared" ca="1" si="2"/>
        <v>0.13919982918019053</v>
      </c>
      <c r="C12" s="7">
        <f t="shared" ca="1" si="3"/>
        <v>0.12733266691605</v>
      </c>
      <c r="D12" s="7">
        <f t="shared" ca="1" si="4"/>
        <v>0.1511270573074846</v>
      </c>
      <c r="E12" s="7">
        <f t="shared" ca="1" si="5"/>
        <v>0.1314392285154396</v>
      </c>
      <c r="F12" s="7">
        <f t="shared" ca="1" si="6"/>
        <v>0.1364430545945165</v>
      </c>
      <c r="G12" s="7">
        <f t="shared" ca="1" si="7"/>
        <v>0.14599769019030942</v>
      </c>
      <c r="H12">
        <v>6</v>
      </c>
      <c r="I12" s="7">
        <f t="shared" ca="1" si="8"/>
        <v>0.12733266691605</v>
      </c>
      <c r="J12" s="7">
        <f t="shared" ca="1" si="9"/>
        <v>17.976292125456503</v>
      </c>
      <c r="K12" s="7">
        <f t="shared" ca="1" si="10"/>
        <v>2.6868330931657844</v>
      </c>
      <c r="L12" s="7">
        <f t="shared" ca="1" si="11"/>
        <v>0.13</v>
      </c>
      <c r="M12" s="7">
        <f t="shared" ca="1" si="11"/>
        <v>17.98</v>
      </c>
      <c r="N12" s="7">
        <f t="shared" ca="1" si="11"/>
        <v>2.69</v>
      </c>
      <c r="O12" s="18"/>
      <c r="P12" s="5">
        <f t="shared" ca="1" si="12"/>
        <v>18</v>
      </c>
      <c r="Q12" s="7">
        <f t="shared" ca="1" si="13"/>
        <v>0.14000000000000001</v>
      </c>
      <c r="R12" s="5">
        <f t="shared" ca="1" si="1"/>
        <v>0</v>
      </c>
      <c r="S12" s="5">
        <f t="shared" ca="1" si="1"/>
        <v>0</v>
      </c>
      <c r="T12" s="5">
        <f t="shared" ca="1" si="1"/>
        <v>0</v>
      </c>
      <c r="U12" s="5">
        <f t="shared" ca="1" si="1"/>
        <v>0</v>
      </c>
      <c r="V12" s="5">
        <f t="shared" ca="1" si="1"/>
        <v>0</v>
      </c>
    </row>
    <row r="13" spans="1:25">
      <c r="A13" s="7">
        <f t="shared" ca="1" si="0"/>
        <v>16.898792236488347</v>
      </c>
      <c r="B13" s="7">
        <f t="shared" ca="1" si="2"/>
        <v>0.15468315778815778</v>
      </c>
      <c r="C13" s="7">
        <f t="shared" ca="1" si="3"/>
        <v>0.12607002846833895</v>
      </c>
      <c r="D13" s="7">
        <f t="shared" ca="1" si="4"/>
        <v>0.16374726957171493</v>
      </c>
      <c r="E13" s="7">
        <f t="shared" ca="1" si="5"/>
        <v>0.10928251692109066</v>
      </c>
      <c r="F13" s="7">
        <f t="shared" ca="1" si="6"/>
        <v>0.11112981399902036</v>
      </c>
      <c r="G13" s="7">
        <f t="shared" ca="1" si="7"/>
        <v>0.19292826442360234</v>
      </c>
      <c r="H13" s="5">
        <v>7</v>
      </c>
      <c r="I13" s="7">
        <f t="shared" ca="1" si="8"/>
        <v>0.10928251692109066</v>
      </c>
      <c r="J13" s="7">
        <f t="shared" ca="1" si="9"/>
        <v>16.898792236488347</v>
      </c>
      <c r="K13" s="7">
        <f t="shared" ca="1" si="10"/>
        <v>2.5366618982371816</v>
      </c>
      <c r="L13" s="7">
        <f t="shared" ca="1" si="11"/>
        <v>0.11</v>
      </c>
      <c r="M13" s="7">
        <f t="shared" ca="1" si="11"/>
        <v>16.899999999999999</v>
      </c>
      <c r="N13" s="7">
        <f t="shared" ca="1" si="11"/>
        <v>2.54</v>
      </c>
      <c r="O13" s="18"/>
      <c r="P13" s="5">
        <f t="shared" ca="1" si="12"/>
        <v>17</v>
      </c>
      <c r="Q13" s="7">
        <f t="shared" ca="1" si="13"/>
        <v>0.15</v>
      </c>
      <c r="R13" s="5">
        <f t="shared" ca="1" si="1"/>
        <v>0</v>
      </c>
      <c r="S13" s="5">
        <f t="shared" ca="1" si="1"/>
        <v>0</v>
      </c>
      <c r="T13" s="5">
        <f t="shared" ca="1" si="1"/>
        <v>0</v>
      </c>
      <c r="U13" s="5">
        <f t="shared" ca="1" si="1"/>
        <v>0</v>
      </c>
      <c r="V13" s="5">
        <f t="shared" ca="1" si="1"/>
        <v>0</v>
      </c>
    </row>
    <row r="14" spans="1:25">
      <c r="A14" s="7">
        <f t="shared" ca="1" si="0"/>
        <v>16.164158864786714</v>
      </c>
      <c r="B14" s="7">
        <f t="shared" ca="1" si="2"/>
        <v>0.13513931713820398</v>
      </c>
      <c r="C14" s="7">
        <f t="shared" ca="1" si="3"/>
        <v>0.13413196590502641</v>
      </c>
      <c r="D14" s="7">
        <f t="shared" ca="1" si="4"/>
        <v>0.18411188652142096</v>
      </c>
      <c r="E14" s="7">
        <f t="shared" ca="1" si="5"/>
        <v>0.14785992381891916</v>
      </c>
      <c r="F14" s="7">
        <f t="shared" ca="1" si="6"/>
        <v>0.1394742959006926</v>
      </c>
      <c r="G14" s="7">
        <f t="shared" ca="1" si="7"/>
        <v>0.19726213530839326</v>
      </c>
      <c r="H14">
        <v>8</v>
      </c>
      <c r="I14" s="7">
        <f t="shared" ca="1" si="8"/>
        <v>0.13413196590502641</v>
      </c>
      <c r="J14" s="7">
        <f t="shared" ca="1" si="9"/>
        <v>16.164158864786714</v>
      </c>
      <c r="K14" s="7">
        <f t="shared" ca="1" si="10"/>
        <v>2.4431626270541962</v>
      </c>
      <c r="L14" s="7">
        <f t="shared" ca="1" si="11"/>
        <v>0.13</v>
      </c>
      <c r="M14" s="7">
        <f t="shared" ca="1" si="11"/>
        <v>16.16</v>
      </c>
      <c r="N14" s="7">
        <f t="shared" ca="1" si="11"/>
        <v>2.44</v>
      </c>
      <c r="O14" s="18"/>
      <c r="P14" s="5">
        <f t="shared" ca="1" si="12"/>
        <v>16</v>
      </c>
      <c r="Q14" s="7">
        <f t="shared" ca="1" si="13"/>
        <v>0.14000000000000001</v>
      </c>
      <c r="R14" s="5">
        <f t="shared" ca="1" si="1"/>
        <v>0</v>
      </c>
      <c r="S14" s="5">
        <f t="shared" ca="1" si="1"/>
        <v>0</v>
      </c>
      <c r="T14" s="5">
        <f t="shared" ca="1" si="1"/>
        <v>0</v>
      </c>
      <c r="U14" s="5">
        <f t="shared" ca="1" si="1"/>
        <v>0</v>
      </c>
      <c r="V14" s="5">
        <f t="shared" ca="1" si="1"/>
        <v>0</v>
      </c>
    </row>
    <row r="15" spans="1:25">
      <c r="A15" s="7">
        <f t="shared" ca="1" si="0"/>
        <v>17.427638059481403</v>
      </c>
      <c r="B15" s="7">
        <f t="shared" ca="1" si="2"/>
        <v>0.15874192014109795</v>
      </c>
      <c r="C15" s="7">
        <f t="shared" ca="1" si="3"/>
        <v>0.13945366000065268</v>
      </c>
      <c r="D15" s="7">
        <f t="shared" ca="1" si="4"/>
        <v>0.1811950244748709</v>
      </c>
      <c r="E15" s="7">
        <f t="shared" ca="1" si="5"/>
        <v>0.11949718496804908</v>
      </c>
      <c r="F15" s="7">
        <f t="shared" ca="1" si="6"/>
        <v>0.16481585789982434</v>
      </c>
      <c r="G15" s="7">
        <f t="shared" ca="1" si="7"/>
        <v>0.20833512458168499</v>
      </c>
      <c r="H15" s="5">
        <v>9</v>
      </c>
      <c r="I15" s="7">
        <f t="shared" ca="1" si="8"/>
        <v>0.11949718496804908</v>
      </c>
      <c r="J15" s="7">
        <f t="shared" ca="1" si="9"/>
        <v>17.427638059481403</v>
      </c>
      <c r="K15" s="7">
        <f t="shared" ca="1" si="10"/>
        <v>2.6285252616496542</v>
      </c>
      <c r="L15" s="7">
        <f t="shared" ca="1" si="11"/>
        <v>0.12</v>
      </c>
      <c r="M15" s="7">
        <f t="shared" ca="1" si="11"/>
        <v>17.43</v>
      </c>
      <c r="N15" s="7">
        <f t="shared" ca="1" si="11"/>
        <v>2.63</v>
      </c>
      <c r="O15" s="18"/>
      <c r="P15" s="5">
        <f t="shared" ca="1" si="12"/>
        <v>17</v>
      </c>
      <c r="Q15" s="7">
        <f t="shared" ca="1" si="13"/>
        <v>0.16</v>
      </c>
      <c r="R15" s="5">
        <f t="shared" ca="1" si="1"/>
        <v>0</v>
      </c>
      <c r="S15" s="5">
        <f t="shared" ca="1" si="1"/>
        <v>0</v>
      </c>
      <c r="T15" s="5">
        <f t="shared" ca="1" si="1"/>
        <v>0</v>
      </c>
      <c r="U15" s="5">
        <f t="shared" ca="1" si="1"/>
        <v>0</v>
      </c>
      <c r="V15" s="5">
        <f t="shared" ca="1" si="1"/>
        <v>0</v>
      </c>
    </row>
    <row r="16" spans="1:25">
      <c r="A16" s="7">
        <f t="shared" ca="1" si="0"/>
        <v>16.58750480079927</v>
      </c>
      <c r="B16" s="7">
        <f t="shared" ca="1" si="2"/>
        <v>0.15072532145305173</v>
      </c>
      <c r="C16" s="7">
        <f t="shared" ca="1" si="3"/>
        <v>0.1330208679883641</v>
      </c>
      <c r="D16" s="7">
        <f t="shared" ca="1" si="4"/>
        <v>0.11267711168634584</v>
      </c>
      <c r="E16" s="7">
        <f t="shared" ca="1" si="5"/>
        <v>0.10185364621020815</v>
      </c>
      <c r="F16" s="7">
        <f t="shared" ca="1" si="6"/>
        <v>0.14622635485199059</v>
      </c>
      <c r="G16" s="7">
        <f t="shared" ca="1" si="7"/>
        <v>0.18586186352643333</v>
      </c>
      <c r="H16">
        <v>10</v>
      </c>
      <c r="I16" s="7">
        <f t="shared" ca="1" si="8"/>
        <v>0.10185364621020815</v>
      </c>
      <c r="J16" s="7">
        <f t="shared" ca="1" si="9"/>
        <v>16.58750480079927</v>
      </c>
      <c r="K16" s="7">
        <f t="shared" ca="1" si="10"/>
        <v>2.4882671380736663</v>
      </c>
      <c r="L16" s="7">
        <f t="shared" ca="1" si="11"/>
        <v>0.1</v>
      </c>
      <c r="M16" s="7">
        <f t="shared" ca="1" si="11"/>
        <v>16.59</v>
      </c>
      <c r="N16" s="7">
        <f t="shared" ca="1" si="11"/>
        <v>2.4900000000000002</v>
      </c>
      <c r="O16" s="18"/>
      <c r="P16" s="5">
        <f t="shared" ca="1" si="12"/>
        <v>17</v>
      </c>
      <c r="Q16" s="7">
        <f t="shared" ca="1" si="13"/>
        <v>0.15</v>
      </c>
      <c r="R16" s="5">
        <f t="shared" ca="1" si="1"/>
        <v>0</v>
      </c>
      <c r="S16" s="5">
        <f t="shared" ca="1" si="1"/>
        <v>0</v>
      </c>
      <c r="T16" s="5">
        <f t="shared" ca="1" si="1"/>
        <v>0</v>
      </c>
      <c r="U16" s="5">
        <f t="shared" ca="1" si="1"/>
        <v>0</v>
      </c>
      <c r="V16" s="5">
        <f t="shared" ca="1" si="1"/>
        <v>0</v>
      </c>
      <c r="Y16">
        <v>1</v>
      </c>
    </row>
    <row r="17" spans="1:25">
      <c r="A17" s="7">
        <f t="shared" ca="1" si="0"/>
        <v>14.553633273318795</v>
      </c>
      <c r="B17" s="7">
        <f t="shared" ca="1" si="2"/>
        <v>0.14878770601365521</v>
      </c>
      <c r="C17" s="7">
        <f t="shared" ca="1" si="3"/>
        <v>0.12260971688512642</v>
      </c>
      <c r="D17" s="7">
        <f t="shared" ca="1" si="4"/>
        <v>0.18252000360635545</v>
      </c>
      <c r="E17" s="7">
        <f t="shared" ca="1" si="5"/>
        <v>0.13023239442289541</v>
      </c>
      <c r="F17" s="7">
        <f t="shared" ca="1" si="6"/>
        <v>0.11381447533539724</v>
      </c>
      <c r="G17" s="7">
        <f t="shared" ca="1" si="7"/>
        <v>0.19762828995189635</v>
      </c>
      <c r="H17" s="5">
        <v>11</v>
      </c>
      <c r="I17" s="7">
        <f t="shared" ca="1" si="8"/>
        <v>0.11381447533539724</v>
      </c>
      <c r="J17" s="7">
        <f t="shared" ca="1" si="9"/>
        <v>14.553633273318795</v>
      </c>
      <c r="K17" s="7">
        <f t="shared" ca="1" si="10"/>
        <v>2.2070322656477317</v>
      </c>
      <c r="L17" s="7">
        <f t="shared" ca="1" si="11"/>
        <v>0.11</v>
      </c>
      <c r="M17" s="7">
        <f t="shared" ca="1" si="11"/>
        <v>14.55</v>
      </c>
      <c r="N17" s="7">
        <f t="shared" ca="1" si="11"/>
        <v>2.21</v>
      </c>
      <c r="O17" s="19"/>
      <c r="P17" s="5">
        <f t="shared" ca="1" si="12"/>
        <v>15</v>
      </c>
      <c r="Q17" s="7">
        <f t="shared" ca="1" si="13"/>
        <v>0.15</v>
      </c>
      <c r="R17" s="5">
        <f t="shared" ca="1" si="1"/>
        <v>0</v>
      </c>
      <c r="S17" s="5">
        <f t="shared" ca="1" si="1"/>
        <v>0</v>
      </c>
      <c r="T17" s="5">
        <f t="shared" ca="1" si="1"/>
        <v>0</v>
      </c>
      <c r="U17" s="5">
        <f t="shared" ca="1" si="1"/>
        <v>0</v>
      </c>
      <c r="V17" s="5">
        <f t="shared" ca="1" si="1"/>
        <v>0</v>
      </c>
    </row>
    <row r="18" spans="1:25">
      <c r="A18" s="7">
        <f t="shared" ca="1" si="0"/>
        <v>15.283068017036603</v>
      </c>
      <c r="B18" s="7">
        <f t="shared" ca="1" si="2"/>
        <v>0.15057374198133447</v>
      </c>
      <c r="C18" s="7">
        <f t="shared" ca="1" si="3"/>
        <v>0.13557253351621557</v>
      </c>
      <c r="D18" s="7">
        <f t="shared" ca="1" si="4"/>
        <v>0.18323193208326477</v>
      </c>
      <c r="E18" s="7">
        <f t="shared" ca="1" si="5"/>
        <v>0.13498677219761834</v>
      </c>
      <c r="F18" s="7">
        <f t="shared" ca="1" si="6"/>
        <v>0.16230319047257252</v>
      </c>
      <c r="G18" s="7">
        <f t="shared" ca="1" si="7"/>
        <v>0.20306133123023623</v>
      </c>
      <c r="H18">
        <v>12</v>
      </c>
      <c r="I18" s="7">
        <f t="shared" ca="1" si="8"/>
        <v>0.13498677219761834</v>
      </c>
      <c r="J18" s="7">
        <f t="shared" ca="1" si="9"/>
        <v>15.283068017036603</v>
      </c>
      <c r="K18" s="7">
        <f t="shared" ca="1" si="10"/>
        <v>2.3218282169311211</v>
      </c>
      <c r="L18" s="7">
        <f t="shared" ca="1" si="11"/>
        <v>0.13</v>
      </c>
      <c r="M18" s="7">
        <f t="shared" ca="1" si="11"/>
        <v>15.28</v>
      </c>
      <c r="N18" s="7">
        <f t="shared" ca="1" si="11"/>
        <v>2.3199999999999998</v>
      </c>
      <c r="O18" s="19"/>
      <c r="P18" s="5">
        <f t="shared" ca="1" si="12"/>
        <v>15</v>
      </c>
      <c r="Q18" s="7">
        <f t="shared" ca="1" si="13"/>
        <v>0.15</v>
      </c>
      <c r="R18" s="5">
        <f t="shared" ca="1" si="1"/>
        <v>0</v>
      </c>
      <c r="S18" s="5">
        <f t="shared" ca="1" si="1"/>
        <v>0</v>
      </c>
      <c r="T18" s="5">
        <f t="shared" ca="1" si="1"/>
        <v>0</v>
      </c>
      <c r="U18" s="5">
        <f t="shared" ca="1" si="1"/>
        <v>0</v>
      </c>
      <c r="V18" s="5">
        <f t="shared" ca="1" si="1"/>
        <v>0</v>
      </c>
    </row>
    <row r="19" spans="1:25">
      <c r="A19" s="7">
        <f t="shared" ca="1" si="0"/>
        <v>19.11502163463399</v>
      </c>
      <c r="B19" s="7">
        <f t="shared" ca="1" si="2"/>
        <v>0.15127614508511633</v>
      </c>
      <c r="C19" s="7">
        <f t="shared" ca="1" si="3"/>
        <v>0.12624685351356391</v>
      </c>
      <c r="D19" s="7">
        <f t="shared" ca="1" si="4"/>
        <v>0.15788842271584258</v>
      </c>
      <c r="E19" s="7">
        <f t="shared" ca="1" si="5"/>
        <v>0.14518724661945273</v>
      </c>
      <c r="F19" s="7">
        <f t="shared" ca="1" si="6"/>
        <v>0.10860721283785289</v>
      </c>
      <c r="G19" s="7">
        <f t="shared" ca="1" si="7"/>
        <v>0.17201407203330271</v>
      </c>
      <c r="H19" s="5">
        <v>13</v>
      </c>
      <c r="I19" s="7">
        <f t="shared" ca="1" si="8"/>
        <v>0.10860721283785289</v>
      </c>
      <c r="J19" s="7">
        <f t="shared" ca="1" si="9"/>
        <v>19.11502163463399</v>
      </c>
      <c r="K19" s="7">
        <f t="shared" ca="1" si="10"/>
        <v>2.8537487982055891</v>
      </c>
      <c r="L19" s="7">
        <f t="shared" ca="1" si="11"/>
        <v>0.11</v>
      </c>
      <c r="M19" s="7">
        <f t="shared" ca="1" si="11"/>
        <v>19.12</v>
      </c>
      <c r="N19" s="7">
        <f t="shared" ca="1" si="11"/>
        <v>2.85</v>
      </c>
      <c r="O19" s="19"/>
      <c r="P19" s="5">
        <f t="shared" ca="1" si="12"/>
        <v>19</v>
      </c>
      <c r="Q19" s="7">
        <f t="shared" ca="1" si="13"/>
        <v>0.15</v>
      </c>
      <c r="R19" s="5">
        <f t="shared" ca="1" si="1"/>
        <v>0</v>
      </c>
      <c r="S19" s="5">
        <f t="shared" ca="1" si="1"/>
        <v>0</v>
      </c>
      <c r="T19" s="5">
        <f t="shared" ca="1" si="1"/>
        <v>0</v>
      </c>
      <c r="U19" s="5">
        <f t="shared" ca="1" si="1"/>
        <v>0</v>
      </c>
      <c r="V19" s="5">
        <f t="shared" ca="1" si="1"/>
        <v>0</v>
      </c>
    </row>
    <row r="20" spans="1:25">
      <c r="A20" s="7">
        <f t="shared" ca="1" si="0"/>
        <v>17.485668548542897</v>
      </c>
      <c r="B20" s="7">
        <f t="shared" ca="1" si="2"/>
        <v>0.10080999457907715</v>
      </c>
      <c r="C20" s="7">
        <f t="shared" ca="1" si="3"/>
        <v>0.12926257442408259</v>
      </c>
      <c r="D20" s="7">
        <f t="shared" ca="1" si="4"/>
        <v>0.10342778269103182</v>
      </c>
      <c r="E20" s="7">
        <f t="shared" ca="1" si="5"/>
        <v>0.11514422190048398</v>
      </c>
      <c r="F20" s="7">
        <f t="shared" ca="1" si="6"/>
        <v>0.13256076998042945</v>
      </c>
      <c r="G20" s="7">
        <f t="shared" ca="1" si="7"/>
        <v>0.19095534807949588</v>
      </c>
      <c r="H20">
        <v>14</v>
      </c>
      <c r="I20" s="7">
        <f t="shared" ca="1" si="8"/>
        <v>0.10080999457907715</v>
      </c>
      <c r="J20" s="7">
        <f t="shared" ca="1" si="9"/>
        <v>17.485668548542897</v>
      </c>
      <c r="K20" s="7">
        <f t="shared" ca="1" si="10"/>
        <v>2.6082613200282134</v>
      </c>
      <c r="L20" s="7">
        <f t="shared" ca="1" si="11"/>
        <v>0.1</v>
      </c>
      <c r="M20" s="7">
        <f t="shared" ca="1" si="11"/>
        <v>17.489999999999998</v>
      </c>
      <c r="N20" s="7">
        <f t="shared" ca="1" si="11"/>
        <v>2.61</v>
      </c>
      <c r="O20" s="19"/>
      <c r="P20" s="5">
        <f t="shared" ca="1" si="12"/>
        <v>17</v>
      </c>
      <c r="Q20" s="7">
        <f t="shared" ca="1" si="13"/>
        <v>0.1</v>
      </c>
      <c r="R20" s="5">
        <f t="shared" ca="1" si="1"/>
        <v>0</v>
      </c>
      <c r="S20" s="5">
        <f t="shared" ca="1" si="1"/>
        <v>0</v>
      </c>
      <c r="T20" s="5">
        <f t="shared" ca="1" si="1"/>
        <v>0</v>
      </c>
      <c r="U20" s="5">
        <f t="shared" ca="1" si="1"/>
        <v>0</v>
      </c>
      <c r="V20" s="5">
        <f t="shared" ca="1" si="1"/>
        <v>0</v>
      </c>
    </row>
    <row r="21" spans="1:25">
      <c r="A21" s="7">
        <f t="shared" ca="1" si="0"/>
        <v>17.316759113732523</v>
      </c>
      <c r="B21" s="7">
        <f t="shared" ca="1" si="2"/>
        <v>0.14994139618174762</v>
      </c>
      <c r="C21" s="7">
        <f t="shared" ca="1" si="3"/>
        <v>0.11766701746306488</v>
      </c>
      <c r="D21" s="7">
        <f t="shared" ca="1" si="4"/>
        <v>0.10090636956757651</v>
      </c>
      <c r="E21" s="7">
        <f t="shared" ca="1" si="5"/>
        <v>0.11805877737161183</v>
      </c>
      <c r="F21" s="7">
        <f t="shared" ca="1" si="6"/>
        <v>0.12813263167204972</v>
      </c>
      <c r="G21" s="7">
        <f t="shared" ca="1" si="7"/>
        <v>0.13526524369154078</v>
      </c>
      <c r="H21" s="5">
        <v>15</v>
      </c>
      <c r="I21" s="7">
        <f t="shared" ca="1" si="8"/>
        <v>0.10090636956757651</v>
      </c>
      <c r="J21" s="7">
        <f t="shared" ca="1" si="9"/>
        <v>17.316759113732523</v>
      </c>
      <c r="K21" s="7">
        <f t="shared" ca="1" si="10"/>
        <v>2.5809615070971597</v>
      </c>
      <c r="L21" s="7">
        <f t="shared" ca="1" si="11"/>
        <v>0.1</v>
      </c>
      <c r="M21" s="7">
        <f t="shared" ca="1" si="11"/>
        <v>17.32</v>
      </c>
      <c r="N21" s="7">
        <f t="shared" ca="1" si="11"/>
        <v>2.58</v>
      </c>
      <c r="O21" s="19"/>
      <c r="P21" s="5">
        <f t="shared" ca="1" si="12"/>
        <v>17</v>
      </c>
      <c r="Q21" s="5">
        <f t="shared" ca="1" si="1"/>
        <v>0</v>
      </c>
      <c r="R21" s="5">
        <f t="shared" ca="1" si="1"/>
        <v>0</v>
      </c>
      <c r="S21" s="5">
        <f t="shared" ca="1" si="1"/>
        <v>0</v>
      </c>
      <c r="T21" s="5">
        <f t="shared" ca="1" si="1"/>
        <v>0</v>
      </c>
      <c r="U21" s="5">
        <f t="shared" ca="1" si="1"/>
        <v>0</v>
      </c>
      <c r="V21" s="5">
        <f t="shared" ca="1" si="1"/>
        <v>0</v>
      </c>
    </row>
    <row r="22" spans="1:25">
      <c r="A22" s="7">
        <f t="shared" ca="1" si="0"/>
        <v>12.161728476094718</v>
      </c>
      <c r="B22" s="7">
        <f t="shared" ca="1" si="2"/>
        <v>0.15047820422963254</v>
      </c>
      <c r="C22" s="7">
        <f t="shared" ca="1" si="3"/>
        <v>0.11324836619260945</v>
      </c>
      <c r="D22" s="7">
        <f t="shared" ca="1" si="4"/>
        <v>0.10602760914139975</v>
      </c>
      <c r="E22" s="7">
        <f t="shared" ca="1" si="5"/>
        <v>0.1138142217323872</v>
      </c>
      <c r="F22" s="7">
        <f t="shared" ca="1" si="6"/>
        <v>0.14011839259158504</v>
      </c>
      <c r="G22" s="7">
        <f t="shared" ca="1" si="7"/>
        <v>0.13869609374455746</v>
      </c>
      <c r="H22">
        <v>16</v>
      </c>
      <c r="I22" s="7">
        <f t="shared" ca="1" si="8"/>
        <v>0.10602760914139975</v>
      </c>
      <c r="J22" s="7">
        <f t="shared" ca="1" si="9"/>
        <v>12.161728476094718</v>
      </c>
      <c r="K22" s="7">
        <f t="shared" ca="1" si="10"/>
        <v>1.8463016233895555</v>
      </c>
      <c r="L22" s="7">
        <f t="shared" ca="1" si="11"/>
        <v>0.11</v>
      </c>
      <c r="M22" s="7">
        <f t="shared" ca="1" si="11"/>
        <v>12.16</v>
      </c>
      <c r="N22" s="7">
        <f t="shared" ca="1" si="11"/>
        <v>1.85</v>
      </c>
      <c r="O22" s="20"/>
      <c r="P22" s="5">
        <f t="shared" ca="1" si="12"/>
        <v>12</v>
      </c>
      <c r="Q22" s="5">
        <f t="shared" ca="1" si="1"/>
        <v>0</v>
      </c>
      <c r="R22" s="5">
        <f t="shared" ca="1" si="1"/>
        <v>0</v>
      </c>
      <c r="S22" s="5">
        <f t="shared" ca="1" si="1"/>
        <v>0</v>
      </c>
      <c r="T22" s="5">
        <f t="shared" ca="1" si="1"/>
        <v>0</v>
      </c>
      <c r="U22" s="5">
        <f t="shared" ca="1" si="1"/>
        <v>0</v>
      </c>
      <c r="V22" s="5">
        <f t="shared" ca="1" si="1"/>
        <v>0</v>
      </c>
    </row>
    <row r="23" spans="1:25">
      <c r="A23" s="7">
        <f t="shared" ca="1" si="0"/>
        <v>18.055714231179405</v>
      </c>
      <c r="B23" s="7">
        <f t="shared" ca="1" si="2"/>
        <v>0.12756046116079314</v>
      </c>
      <c r="C23" s="7">
        <f t="shared" ca="1" si="3"/>
        <v>0.10464927280951808</v>
      </c>
      <c r="D23" s="7">
        <f t="shared" ca="1" si="4"/>
        <v>0.15388796786054607</v>
      </c>
      <c r="E23" s="7">
        <f t="shared" ca="1" si="5"/>
        <v>0.1388057836146569</v>
      </c>
      <c r="F23" s="7">
        <f t="shared" ca="1" si="6"/>
        <v>0.16146612561441268</v>
      </c>
      <c r="G23" s="7">
        <f t="shared" ca="1" si="7"/>
        <v>0.12449581873033926</v>
      </c>
      <c r="H23" s="5">
        <v>17</v>
      </c>
      <c r="I23" s="7">
        <f t="shared" ca="1" si="8"/>
        <v>0.10464927280951808</v>
      </c>
      <c r="J23" s="7">
        <f t="shared" ca="1" si="9"/>
        <v>18.055714231179405</v>
      </c>
      <c r="K23" s="7">
        <f t="shared" ca="1" si="10"/>
        <v>2.69522566585281</v>
      </c>
      <c r="L23" s="7">
        <f t="shared" ca="1" si="11"/>
        <v>0.1</v>
      </c>
      <c r="M23" s="7">
        <f t="shared" ca="1" si="11"/>
        <v>18.059999999999999</v>
      </c>
      <c r="N23" s="7">
        <f t="shared" ca="1" si="11"/>
        <v>2.7</v>
      </c>
      <c r="O23" s="20"/>
      <c r="P23" s="5">
        <f t="shared" ca="1" si="12"/>
        <v>18</v>
      </c>
      <c r="Q23" s="5">
        <f t="shared" ref="Q23:V36" ca="1" si="14">ROUND(B23,-1)</f>
        <v>0</v>
      </c>
      <c r="R23" s="5">
        <f t="shared" ca="1" si="14"/>
        <v>0</v>
      </c>
      <c r="S23" s="5">
        <f t="shared" ca="1" si="14"/>
        <v>0</v>
      </c>
      <c r="T23" s="5">
        <f t="shared" ca="1" si="14"/>
        <v>0</v>
      </c>
      <c r="U23" s="5">
        <f t="shared" ca="1" si="14"/>
        <v>0</v>
      </c>
      <c r="V23" s="5">
        <f t="shared" ca="1" si="14"/>
        <v>0</v>
      </c>
    </row>
    <row r="24" spans="1:25">
      <c r="A24" s="7">
        <f t="shared" ca="1" si="0"/>
        <v>14.449276365153152</v>
      </c>
      <c r="B24" s="7">
        <f t="shared" ca="1" si="2"/>
        <v>0.14835876072564455</v>
      </c>
      <c r="C24" s="7">
        <f t="shared" ca="1" si="3"/>
        <v>0.13513025455316879</v>
      </c>
      <c r="D24" s="7">
        <f t="shared" ca="1" si="4"/>
        <v>0.14123469379194334</v>
      </c>
      <c r="E24" s="7">
        <f t="shared" ca="1" si="5"/>
        <v>0.13430432034339895</v>
      </c>
      <c r="F24" s="7">
        <f t="shared" ca="1" si="6"/>
        <v>0.14214748696231427</v>
      </c>
      <c r="G24" s="7">
        <f t="shared" ca="1" si="7"/>
        <v>0.15822928158295133</v>
      </c>
      <c r="H24">
        <v>18</v>
      </c>
      <c r="I24" s="7">
        <f t="shared" ca="1" si="8"/>
        <v>0.13430432034339895</v>
      </c>
      <c r="J24" s="7">
        <f t="shared" ca="1" si="9"/>
        <v>14.449276365153152</v>
      </c>
      <c r="K24" s="7">
        <f t="shared" ca="1" si="10"/>
        <v>2.1869544518732242</v>
      </c>
      <c r="L24" s="7">
        <f t="shared" ca="1" si="11"/>
        <v>0.13</v>
      </c>
      <c r="M24" s="7">
        <f t="shared" ca="1" si="11"/>
        <v>14.45</v>
      </c>
      <c r="N24" s="7">
        <f t="shared" ca="1" si="11"/>
        <v>2.19</v>
      </c>
      <c r="O24" s="20"/>
      <c r="P24" s="5">
        <f t="shared" ca="1" si="12"/>
        <v>14</v>
      </c>
      <c r="Q24" s="5">
        <f t="shared" ca="1" si="14"/>
        <v>0</v>
      </c>
      <c r="R24" s="5">
        <f t="shared" ca="1" si="14"/>
        <v>0</v>
      </c>
      <c r="S24" s="5">
        <f t="shared" ca="1" si="14"/>
        <v>0</v>
      </c>
      <c r="T24" s="5">
        <f t="shared" ca="1" si="14"/>
        <v>0</v>
      </c>
      <c r="U24" s="5">
        <f t="shared" ca="1" si="14"/>
        <v>0</v>
      </c>
      <c r="V24" s="5">
        <f t="shared" ca="1" si="14"/>
        <v>0</v>
      </c>
    </row>
    <row r="25" spans="1:25">
      <c r="A25" s="7">
        <f t="shared" ca="1" si="0"/>
        <v>16.380577649611354</v>
      </c>
      <c r="B25" s="7">
        <f t="shared" ca="1" si="2"/>
        <v>0.10146477883724411</v>
      </c>
      <c r="C25" s="7">
        <f t="shared" ca="1" si="3"/>
        <v>0.10582603778762791</v>
      </c>
      <c r="D25" s="7">
        <f t="shared" ca="1" si="4"/>
        <v>0.13564426226517218</v>
      </c>
      <c r="E25" s="7">
        <f t="shared" ca="1" si="5"/>
        <v>0.13280131644049731</v>
      </c>
      <c r="F25" s="7">
        <f t="shared" ca="1" si="6"/>
        <v>0.13415896172232322</v>
      </c>
      <c r="G25" s="7">
        <f t="shared" ca="1" si="7"/>
        <v>0.18217972051170866</v>
      </c>
      <c r="H25" s="5">
        <v>19</v>
      </c>
      <c r="I25" s="7">
        <f t="shared" ca="1" si="8"/>
        <v>0.10146477883724411</v>
      </c>
      <c r="J25" s="7">
        <f t="shared" ca="1" si="9"/>
        <v>16.380577649611354</v>
      </c>
      <c r="K25" s="7">
        <f t="shared" ca="1" si="10"/>
        <v>2.4532361038822752</v>
      </c>
      <c r="L25" s="7">
        <f t="shared" ca="1" si="11"/>
        <v>0.1</v>
      </c>
      <c r="M25" s="7">
        <f t="shared" ca="1" si="11"/>
        <v>16.38</v>
      </c>
      <c r="N25" s="7">
        <f t="shared" ca="1" si="11"/>
        <v>2.4500000000000002</v>
      </c>
      <c r="O25" s="20"/>
      <c r="P25" s="5">
        <f t="shared" ca="1" si="12"/>
        <v>16</v>
      </c>
      <c r="Q25" s="5">
        <f t="shared" ca="1" si="14"/>
        <v>0</v>
      </c>
      <c r="R25" s="5">
        <f t="shared" ca="1" si="14"/>
        <v>0</v>
      </c>
      <c r="S25" s="5">
        <f t="shared" ca="1" si="14"/>
        <v>0</v>
      </c>
      <c r="T25" s="5">
        <f t="shared" ca="1" si="14"/>
        <v>0</v>
      </c>
      <c r="U25" s="5">
        <f t="shared" ca="1" si="14"/>
        <v>0</v>
      </c>
      <c r="V25" s="5">
        <f t="shared" ca="1" si="14"/>
        <v>0</v>
      </c>
    </row>
    <row r="26" spans="1:25">
      <c r="A26" s="7">
        <f t="shared" ca="1" si="0"/>
        <v>17.114019179417618</v>
      </c>
      <c r="B26" s="7">
        <f t="shared" ca="1" si="2"/>
        <v>0.15015639971519851</v>
      </c>
      <c r="C26" s="7">
        <f t="shared" ca="1" si="3"/>
        <v>0.10813573033518878</v>
      </c>
      <c r="D26" s="7">
        <f t="shared" ca="1" si="4"/>
        <v>0.13835278701835746</v>
      </c>
      <c r="E26" s="7">
        <f t="shared" ca="1" si="5"/>
        <v>0.10632743791661217</v>
      </c>
      <c r="F26" s="7">
        <f t="shared" ca="1" si="6"/>
        <v>0.11493211647768008</v>
      </c>
      <c r="G26" s="7">
        <f t="shared" ca="1" si="7"/>
        <v>0.15739630575928004</v>
      </c>
      <c r="H26">
        <v>20</v>
      </c>
      <c r="I26" s="7">
        <f t="shared" ca="1" si="8"/>
        <v>0.10632743791661217</v>
      </c>
      <c r="J26" s="7">
        <f t="shared" ca="1" si="9"/>
        <v>17.114019179417618</v>
      </c>
      <c r="K26" s="7">
        <f t="shared" ca="1" si="10"/>
        <v>2.5556171366628475</v>
      </c>
      <c r="L26" s="7">
        <f t="shared" ca="1" si="11"/>
        <v>0.11</v>
      </c>
      <c r="M26" s="7">
        <f t="shared" ca="1" si="11"/>
        <v>17.11</v>
      </c>
      <c r="N26" s="7">
        <f t="shared" ca="1" si="11"/>
        <v>2.56</v>
      </c>
      <c r="O26" s="20"/>
      <c r="P26" s="5">
        <f t="shared" ca="1" si="12"/>
        <v>17</v>
      </c>
      <c r="Q26" s="5">
        <f t="shared" ca="1" si="14"/>
        <v>0</v>
      </c>
      <c r="R26" s="5">
        <f t="shared" ca="1" si="14"/>
        <v>0</v>
      </c>
      <c r="S26" s="5">
        <f t="shared" ca="1" si="14"/>
        <v>0</v>
      </c>
      <c r="T26" s="5">
        <f t="shared" ca="1" si="14"/>
        <v>0</v>
      </c>
      <c r="U26" s="5">
        <f t="shared" ca="1" si="14"/>
        <v>0</v>
      </c>
      <c r="V26" s="5">
        <f t="shared" ca="1" si="14"/>
        <v>0</v>
      </c>
    </row>
    <row r="27" spans="1:25">
      <c r="A27" s="7">
        <f t="shared" ca="1" si="0"/>
        <v>16.795921941687023</v>
      </c>
      <c r="B27" s="7">
        <f t="shared" ca="1" si="2"/>
        <v>0.15308928113496559</v>
      </c>
      <c r="C27" s="7">
        <f t="shared" ca="1" si="3"/>
        <v>0.13018011958439205</v>
      </c>
      <c r="D27" s="7">
        <f t="shared" ca="1" si="4"/>
        <v>0.11044383837117305</v>
      </c>
      <c r="E27" s="7">
        <f t="shared" ca="1" si="5"/>
        <v>0.11520358021504958</v>
      </c>
      <c r="F27" s="7">
        <f t="shared" ca="1" si="6"/>
        <v>0.16047329810557909</v>
      </c>
      <c r="G27" s="7">
        <f t="shared" ca="1" si="7"/>
        <v>0.13457459687620296</v>
      </c>
      <c r="H27" s="5">
        <v>21</v>
      </c>
      <c r="I27" s="7">
        <f t="shared" ca="1" si="8"/>
        <v>0.11044383837117305</v>
      </c>
      <c r="J27" s="7">
        <f t="shared" ca="1" si="9"/>
        <v>16.795921941687023</v>
      </c>
      <c r="K27" s="7">
        <f t="shared" ca="1" si="10"/>
        <v>2.514269522282055</v>
      </c>
      <c r="L27" s="7">
        <f t="shared" ca="1" si="11"/>
        <v>0.11</v>
      </c>
      <c r="M27" s="7">
        <f t="shared" ca="1" si="11"/>
        <v>16.8</v>
      </c>
      <c r="N27" s="7">
        <f t="shared" ca="1" si="11"/>
        <v>2.5099999999999998</v>
      </c>
      <c r="O27" s="5"/>
      <c r="P27" s="5">
        <f t="shared" ca="1" si="12"/>
        <v>17</v>
      </c>
      <c r="Q27" s="5">
        <f t="shared" ca="1" si="14"/>
        <v>0</v>
      </c>
      <c r="R27" s="5">
        <f t="shared" ca="1" si="14"/>
        <v>0</v>
      </c>
      <c r="S27" s="5">
        <f t="shared" ca="1" si="14"/>
        <v>0</v>
      </c>
      <c r="T27" s="5">
        <f t="shared" ca="1" si="14"/>
        <v>0</v>
      </c>
      <c r="U27" s="5">
        <f t="shared" ca="1" si="14"/>
        <v>0</v>
      </c>
      <c r="V27" s="5">
        <f t="shared" ca="1" si="14"/>
        <v>0</v>
      </c>
    </row>
    <row r="28" spans="1:25">
      <c r="A28" s="7">
        <f t="shared" ca="1" si="0"/>
        <v>15.878326132669603</v>
      </c>
      <c r="B28" s="7">
        <f t="shared" ca="1" si="2"/>
        <v>0.15874878460451278</v>
      </c>
      <c r="C28" s="7">
        <f t="shared" ca="1" si="3"/>
        <v>0.11663709433305228</v>
      </c>
      <c r="D28" s="7">
        <f t="shared" ca="1" si="4"/>
        <v>0.1712006259654559</v>
      </c>
      <c r="E28" s="7">
        <f t="shared" ca="1" si="5"/>
        <v>0.14364246482633461</v>
      </c>
      <c r="F28" s="7">
        <f t="shared" ca="1" si="6"/>
        <v>0.11838623310225299</v>
      </c>
      <c r="G28" s="7">
        <f t="shared" ca="1" si="7"/>
        <v>0.18951081065182215</v>
      </c>
      <c r="H28">
        <v>22</v>
      </c>
      <c r="I28" s="7">
        <f t="shared" ca="1" si="8"/>
        <v>0.11663709433305228</v>
      </c>
      <c r="J28" s="7">
        <f t="shared" ca="1" si="9"/>
        <v>15.878326132669603</v>
      </c>
      <c r="K28" s="7">
        <f t="shared" ca="1" si="10"/>
        <v>2.3966360208790043</v>
      </c>
      <c r="L28" s="7">
        <f t="shared" ca="1" si="11"/>
        <v>0.12</v>
      </c>
      <c r="M28" s="7">
        <f t="shared" ca="1" si="11"/>
        <v>15.88</v>
      </c>
      <c r="N28" s="7">
        <f t="shared" ca="1" si="11"/>
        <v>2.4</v>
      </c>
      <c r="O28" s="5"/>
      <c r="P28" s="5">
        <f t="shared" ca="1" si="12"/>
        <v>16</v>
      </c>
      <c r="Q28" s="5">
        <f t="shared" ca="1" si="14"/>
        <v>0</v>
      </c>
      <c r="R28" s="5">
        <f t="shared" ca="1" si="14"/>
        <v>0</v>
      </c>
      <c r="S28" s="5">
        <f t="shared" ca="1" si="14"/>
        <v>0</v>
      </c>
      <c r="T28" s="5">
        <f t="shared" ca="1" si="14"/>
        <v>0</v>
      </c>
      <c r="U28" s="5">
        <f t="shared" ca="1" si="14"/>
        <v>0</v>
      </c>
      <c r="V28" s="5">
        <f t="shared" ca="1" si="14"/>
        <v>0</v>
      </c>
    </row>
    <row r="29" spans="1:25">
      <c r="A29" s="7">
        <f t="shared" ca="1" si="0"/>
        <v>19.056029494521038</v>
      </c>
      <c r="B29" s="7">
        <f t="shared" ca="1" si="2"/>
        <v>0.11136611092731137</v>
      </c>
      <c r="C29" s="7">
        <f t="shared" ca="1" si="3"/>
        <v>0.12806785981591345</v>
      </c>
      <c r="D29" s="7">
        <f t="shared" ca="1" si="4"/>
        <v>0.18714926548991484</v>
      </c>
      <c r="E29" s="7">
        <f t="shared" ca="1" si="5"/>
        <v>0.13979580317981374</v>
      </c>
      <c r="F29" s="7">
        <f t="shared" ca="1" si="6"/>
        <v>0.15355802604126725</v>
      </c>
      <c r="G29" s="7">
        <f t="shared" ca="1" si="7"/>
        <v>0.15571655460602021</v>
      </c>
      <c r="H29" s="5">
        <v>23</v>
      </c>
      <c r="I29" s="7">
        <f t="shared" ca="1" si="8"/>
        <v>0.11136611092731137</v>
      </c>
      <c r="J29" s="7">
        <f t="shared" ca="1" si="9"/>
        <v>19.056029494521038</v>
      </c>
      <c r="K29" s="7">
        <f t="shared" ca="1" si="10"/>
        <v>2.8473833020830397</v>
      </c>
      <c r="L29" s="7">
        <f t="shared" ca="1" si="11"/>
        <v>0.11</v>
      </c>
      <c r="M29" s="7">
        <f t="shared" ca="1" si="11"/>
        <v>19.059999999999999</v>
      </c>
      <c r="N29" s="7">
        <f t="shared" ca="1" si="11"/>
        <v>2.85</v>
      </c>
      <c r="O29" s="5"/>
      <c r="P29" s="5">
        <f t="shared" ca="1" si="12"/>
        <v>19</v>
      </c>
      <c r="Q29" s="5">
        <f t="shared" ca="1" si="14"/>
        <v>0</v>
      </c>
      <c r="R29" s="5">
        <f t="shared" ca="1" si="14"/>
        <v>0</v>
      </c>
      <c r="S29" s="5">
        <f t="shared" ca="1" si="14"/>
        <v>0</v>
      </c>
      <c r="T29" s="5">
        <f t="shared" ca="1" si="14"/>
        <v>0</v>
      </c>
      <c r="U29" s="5">
        <f t="shared" ca="1" si="14"/>
        <v>0</v>
      </c>
      <c r="V29" s="5">
        <f t="shared" ca="1" si="14"/>
        <v>0</v>
      </c>
    </row>
    <row r="30" spans="1:25">
      <c r="A30" s="7">
        <f t="shared" ca="1" si="0"/>
        <v>12.653370528880544</v>
      </c>
      <c r="B30" s="7">
        <f t="shared" ca="1" si="2"/>
        <v>0.13348925071677498</v>
      </c>
      <c r="C30" s="7">
        <f t="shared" ca="1" si="3"/>
        <v>0.12258442315412367</v>
      </c>
      <c r="D30" s="7">
        <f t="shared" ca="1" si="4"/>
        <v>0.18570682107023254</v>
      </c>
      <c r="E30" s="7">
        <f t="shared" ca="1" si="5"/>
        <v>0.14851529518421366</v>
      </c>
      <c r="F30" s="7">
        <f t="shared" ca="1" si="6"/>
        <v>0.15395220470382065</v>
      </c>
      <c r="G30" s="7">
        <f t="shared" ca="1" si="7"/>
        <v>0.11297723154773673</v>
      </c>
      <c r="H30">
        <v>24</v>
      </c>
      <c r="I30" s="7">
        <f t="shared" ca="1" si="8"/>
        <v>0.11297723154773673</v>
      </c>
      <c r="J30" s="7">
        <f t="shared" ca="1" si="9"/>
        <v>12.653370528880544</v>
      </c>
      <c r="K30" s="7">
        <f t="shared" ca="1" si="10"/>
        <v>1.9300851078939203</v>
      </c>
      <c r="L30" s="7">
        <f t="shared" ca="1" si="11"/>
        <v>0.11</v>
      </c>
      <c r="M30" s="7">
        <f t="shared" ca="1" si="11"/>
        <v>12.65</v>
      </c>
      <c r="N30" s="7">
        <f t="shared" ca="1" si="11"/>
        <v>1.93</v>
      </c>
      <c r="O30" s="5"/>
      <c r="P30" s="5">
        <f t="shared" ca="1" si="12"/>
        <v>13</v>
      </c>
      <c r="Q30" s="5">
        <f t="shared" ca="1" si="14"/>
        <v>0</v>
      </c>
      <c r="R30" s="5">
        <f t="shared" ca="1" si="14"/>
        <v>0</v>
      </c>
      <c r="S30" s="5">
        <f t="shared" ca="1" si="14"/>
        <v>0</v>
      </c>
      <c r="T30" s="5">
        <f t="shared" ca="1" si="14"/>
        <v>0</v>
      </c>
      <c r="U30" s="5">
        <f t="shared" ca="1" si="14"/>
        <v>0</v>
      </c>
      <c r="V30" s="5">
        <f t="shared" ca="1" si="14"/>
        <v>0</v>
      </c>
    </row>
    <row r="31" spans="1:25">
      <c r="A31" s="7">
        <f t="shared" ca="1" si="0"/>
        <v>12.796094269372935</v>
      </c>
      <c r="B31" s="7">
        <f t="shared" ca="1" si="2"/>
        <v>0.12633044473677266</v>
      </c>
      <c r="C31" s="7">
        <f t="shared" ca="1" si="3"/>
        <v>0.12418037825041391</v>
      </c>
      <c r="D31" s="7">
        <f t="shared" ca="1" si="4"/>
        <v>0.10932667460219801</v>
      </c>
      <c r="E31" s="7">
        <f t="shared" ca="1" si="5"/>
        <v>0.10603802279348024</v>
      </c>
      <c r="F31" s="7">
        <f t="shared" ca="1" si="6"/>
        <v>0.10858246929520163</v>
      </c>
      <c r="G31" s="7">
        <f t="shared" ca="1" si="7"/>
        <v>0.11474648690974627</v>
      </c>
      <c r="H31" s="5">
        <v>25</v>
      </c>
      <c r="I31" s="7">
        <f t="shared" ca="1" si="8"/>
        <v>0.10603802279348024</v>
      </c>
      <c r="J31" s="7">
        <f t="shared" ca="1" si="9"/>
        <v>12.796094269372935</v>
      </c>
      <c r="K31" s="7">
        <f t="shared" ca="1" si="10"/>
        <v>1.9264712494229639</v>
      </c>
      <c r="L31" s="7">
        <f t="shared" ca="1" si="11"/>
        <v>0.11</v>
      </c>
      <c r="M31" s="7">
        <f t="shared" ca="1" si="11"/>
        <v>12.8</v>
      </c>
      <c r="N31" s="7">
        <f t="shared" ca="1" si="11"/>
        <v>1.93</v>
      </c>
      <c r="O31" s="5"/>
      <c r="P31" s="5">
        <f t="shared" ca="1" si="12"/>
        <v>13</v>
      </c>
      <c r="Q31" s="5">
        <f t="shared" ca="1" si="14"/>
        <v>0</v>
      </c>
      <c r="R31" s="5">
        <f t="shared" ca="1" si="14"/>
        <v>0</v>
      </c>
      <c r="S31" s="5">
        <f t="shared" ca="1" si="14"/>
        <v>0</v>
      </c>
      <c r="T31" s="5">
        <f t="shared" ca="1" si="14"/>
        <v>0</v>
      </c>
      <c r="U31" s="5">
        <f t="shared" ca="1" si="14"/>
        <v>0</v>
      </c>
      <c r="V31" s="5">
        <f t="shared" ca="1" si="14"/>
        <v>0</v>
      </c>
      <c r="Y31">
        <v>1</v>
      </c>
    </row>
    <row r="32" spans="1:25">
      <c r="A32" s="7">
        <f t="shared" ca="1" si="0"/>
        <v>18.890143323179025</v>
      </c>
      <c r="B32" s="7">
        <f t="shared" ca="1" si="2"/>
        <v>0.12990537859868312</v>
      </c>
      <c r="C32" s="7">
        <f t="shared" ca="1" si="3"/>
        <v>0.11693183557065123</v>
      </c>
      <c r="D32" s="7">
        <f t="shared" ca="1" si="4"/>
        <v>0.1836261742098782</v>
      </c>
      <c r="E32" s="7">
        <f t="shared" ca="1" si="5"/>
        <v>0.11023500755200061</v>
      </c>
      <c r="F32" s="7">
        <f t="shared" ca="1" si="6"/>
        <v>0.14578142965787663</v>
      </c>
      <c r="G32" s="7">
        <f t="shared" ca="1" si="7"/>
        <v>0.19447560744282416</v>
      </c>
      <c r="H32">
        <v>26</v>
      </c>
      <c r="I32" s="7">
        <f t="shared" ca="1" si="8"/>
        <v>0.11023500755200061</v>
      </c>
      <c r="J32" s="7">
        <f t="shared" ca="1" si="9"/>
        <v>18.890143323179025</v>
      </c>
      <c r="K32" s="7">
        <f t="shared" ca="1" si="10"/>
        <v>2.8244426794587052</v>
      </c>
      <c r="L32" s="7">
        <f t="shared" ca="1" si="11"/>
        <v>0.11</v>
      </c>
      <c r="M32" s="7">
        <f t="shared" ca="1" si="11"/>
        <v>18.89</v>
      </c>
      <c r="N32" s="7">
        <f t="shared" ca="1" si="11"/>
        <v>2.82</v>
      </c>
      <c r="O32" s="5"/>
      <c r="P32" s="5">
        <f t="shared" ca="1" si="12"/>
        <v>19</v>
      </c>
      <c r="Q32" s="5">
        <f t="shared" ca="1" si="14"/>
        <v>0</v>
      </c>
      <c r="R32" s="5">
        <f t="shared" ca="1" si="14"/>
        <v>0</v>
      </c>
      <c r="S32" s="5">
        <f t="shared" ca="1" si="14"/>
        <v>0</v>
      </c>
      <c r="T32" s="5">
        <f t="shared" ca="1" si="14"/>
        <v>0</v>
      </c>
      <c r="U32" s="5">
        <f t="shared" ca="1" si="14"/>
        <v>0</v>
      </c>
      <c r="V32" s="5">
        <f t="shared" ca="1" si="14"/>
        <v>0</v>
      </c>
    </row>
    <row r="33" spans="1:22">
      <c r="A33" s="7">
        <f t="shared" ca="1" si="0"/>
        <v>12.003003654393941</v>
      </c>
      <c r="B33" s="7">
        <f t="shared" ca="1" si="2"/>
        <v>0.12284427911783376</v>
      </c>
      <c r="C33" s="7">
        <f t="shared" ca="1" si="3"/>
        <v>0.11846569803530418</v>
      </c>
      <c r="D33" s="7">
        <f t="shared" ca="1" si="4"/>
        <v>0.12020470236073647</v>
      </c>
      <c r="E33" s="7">
        <f t="shared" ca="1" si="5"/>
        <v>0.1421046122052099</v>
      </c>
      <c r="F33" s="7">
        <f t="shared" ca="1" si="6"/>
        <v>0.10875950873784461</v>
      </c>
      <c r="G33" s="7">
        <f t="shared" ca="1" si="7"/>
        <v>0.16630367855966105</v>
      </c>
      <c r="H33" s="5">
        <v>27</v>
      </c>
      <c r="I33" s="7">
        <f t="shared" ca="1" si="8"/>
        <v>0.10875950873784461</v>
      </c>
      <c r="J33" s="7">
        <f t="shared" ca="1" si="9"/>
        <v>12.003003654393941</v>
      </c>
      <c r="K33" s="7">
        <f t="shared" ca="1" si="10"/>
        <v>1.8259551619157901</v>
      </c>
      <c r="L33" s="7">
        <f t="shared" ca="1" si="11"/>
        <v>0.11</v>
      </c>
      <c r="M33" s="7">
        <f t="shared" ca="1" si="11"/>
        <v>12</v>
      </c>
      <c r="N33" s="7">
        <f t="shared" ca="1" si="11"/>
        <v>1.83</v>
      </c>
      <c r="O33" s="5"/>
      <c r="P33" s="5">
        <f t="shared" ca="1" si="12"/>
        <v>12</v>
      </c>
      <c r="Q33" s="5">
        <f t="shared" ca="1" si="14"/>
        <v>0</v>
      </c>
      <c r="R33" s="5">
        <f t="shared" ca="1" si="14"/>
        <v>0</v>
      </c>
      <c r="S33" s="5">
        <f t="shared" ca="1" si="14"/>
        <v>0</v>
      </c>
      <c r="T33" s="5">
        <f t="shared" ca="1" si="14"/>
        <v>0</v>
      </c>
      <c r="U33" s="5">
        <f t="shared" ca="1" si="14"/>
        <v>0</v>
      </c>
      <c r="V33" s="5">
        <f t="shared" ca="1" si="14"/>
        <v>0</v>
      </c>
    </row>
    <row r="34" spans="1:22">
      <c r="A34" s="7">
        <f t="shared" ca="1" si="0"/>
        <v>15.753004799406959</v>
      </c>
      <c r="B34" s="7">
        <f t="shared" ca="1" si="2"/>
        <v>0.11783512208885652</v>
      </c>
      <c r="C34" s="7">
        <f t="shared" ca="1" si="3"/>
        <v>0.10007027638452003</v>
      </c>
      <c r="D34" s="7">
        <f t="shared" ca="1" si="4"/>
        <v>0.1143463883874158</v>
      </c>
      <c r="E34" s="7">
        <f t="shared" ca="1" si="5"/>
        <v>0.11938765627193121</v>
      </c>
      <c r="F34" s="7">
        <f t="shared" ca="1" si="6"/>
        <v>0.10189430249563318</v>
      </c>
      <c r="G34" s="7">
        <f t="shared" ca="1" si="7"/>
        <v>0.15441713298811025</v>
      </c>
      <c r="H34">
        <v>28</v>
      </c>
      <c r="I34" s="7">
        <f t="shared" ca="1" si="8"/>
        <v>0.10007027638452003</v>
      </c>
      <c r="J34" s="7">
        <f t="shared" ca="1" si="9"/>
        <v>15.753004799406959</v>
      </c>
      <c r="K34" s="7">
        <f t="shared" ca="1" si="10"/>
        <v>2.3515650968604898</v>
      </c>
      <c r="L34" s="7">
        <f t="shared" ca="1" si="11"/>
        <v>0.1</v>
      </c>
      <c r="M34" s="7">
        <f t="shared" ca="1" si="11"/>
        <v>15.75</v>
      </c>
      <c r="N34" s="7">
        <f t="shared" ca="1" si="11"/>
        <v>2.35</v>
      </c>
      <c r="O34" s="5"/>
      <c r="P34" s="5">
        <f t="shared" ca="1" si="12"/>
        <v>16</v>
      </c>
      <c r="Q34" s="5">
        <f t="shared" ca="1" si="14"/>
        <v>0</v>
      </c>
      <c r="R34" s="5">
        <f t="shared" ca="1" si="14"/>
        <v>0</v>
      </c>
      <c r="S34" s="5">
        <f t="shared" ca="1" si="14"/>
        <v>0</v>
      </c>
      <c r="T34" s="5">
        <f t="shared" ca="1" si="14"/>
        <v>0</v>
      </c>
      <c r="U34" s="5">
        <f t="shared" ca="1" si="14"/>
        <v>0</v>
      </c>
      <c r="V34" s="5">
        <f t="shared" ca="1" si="14"/>
        <v>0</v>
      </c>
    </row>
    <row r="35" spans="1:22">
      <c r="A35" s="7">
        <f t="shared" ca="1" si="0"/>
        <v>12.223093684971971</v>
      </c>
      <c r="B35" s="7">
        <f t="shared" ca="1" si="2"/>
        <v>0.11950593168985757</v>
      </c>
      <c r="C35" s="7">
        <f t="shared" ca="1" si="3"/>
        <v>0.11827385783296301</v>
      </c>
      <c r="D35" s="7">
        <f t="shared" ca="1" si="4"/>
        <v>0.18461558982968324</v>
      </c>
      <c r="E35" s="7">
        <f t="shared" ca="1" si="5"/>
        <v>0.13804104717609353</v>
      </c>
      <c r="F35" s="7">
        <f t="shared" ca="1" si="6"/>
        <v>0.13102699349964392</v>
      </c>
      <c r="G35" s="7">
        <f t="shared" ca="1" si="7"/>
        <v>0.11460089527272536</v>
      </c>
      <c r="H35" s="5">
        <v>29</v>
      </c>
      <c r="I35" s="7">
        <f t="shared" ca="1" si="8"/>
        <v>0.11460089527272536</v>
      </c>
      <c r="J35" s="7">
        <f t="shared" ca="1" si="9"/>
        <v>12.223093684971971</v>
      </c>
      <c r="K35" s="7">
        <f t="shared" ca="1" si="10"/>
        <v>1.8613082857532766</v>
      </c>
      <c r="L35" s="7">
        <f t="shared" ca="1" si="11"/>
        <v>0.11</v>
      </c>
      <c r="M35" s="7">
        <f t="shared" ca="1" si="11"/>
        <v>12.22</v>
      </c>
      <c r="N35" s="7">
        <f t="shared" ca="1" si="11"/>
        <v>1.86</v>
      </c>
      <c r="O35" s="5"/>
      <c r="P35" s="5">
        <f t="shared" ca="1" si="12"/>
        <v>12</v>
      </c>
      <c r="Q35" s="5">
        <f t="shared" ca="1" si="14"/>
        <v>0</v>
      </c>
      <c r="R35" s="5">
        <f t="shared" ca="1" si="14"/>
        <v>0</v>
      </c>
      <c r="S35" s="5">
        <f t="shared" ca="1" si="14"/>
        <v>0</v>
      </c>
      <c r="T35" s="5">
        <f t="shared" ca="1" si="14"/>
        <v>0</v>
      </c>
      <c r="U35" s="5">
        <f t="shared" ca="1" si="14"/>
        <v>0</v>
      </c>
      <c r="V35" s="5">
        <f t="shared" ca="1" si="14"/>
        <v>0</v>
      </c>
    </row>
    <row r="36" spans="1:22">
      <c r="A36" s="7">
        <f t="shared" ca="1" si="0"/>
        <v>13.928250599309083</v>
      </c>
      <c r="B36" s="7">
        <f t="shared" ca="1" si="2"/>
        <v>0.10289162279038336</v>
      </c>
      <c r="C36" s="7">
        <f t="shared" ca="1" si="3"/>
        <v>0.13358147839017434</v>
      </c>
      <c r="D36" s="7">
        <f t="shared" ca="1" si="4"/>
        <v>0.18118571509945361</v>
      </c>
      <c r="E36" s="7">
        <f t="shared" ca="1" si="5"/>
        <v>0.12646202372286469</v>
      </c>
      <c r="F36" s="7">
        <f t="shared" ca="1" si="6"/>
        <v>0.10296975560285723</v>
      </c>
      <c r="G36" s="7">
        <f t="shared" ca="1" si="7"/>
        <v>0.15342342228399902</v>
      </c>
      <c r="H36">
        <v>30</v>
      </c>
      <c r="I36" s="7">
        <f t="shared" ca="1" si="8"/>
        <v>0.10289162279038336</v>
      </c>
      <c r="J36" s="7">
        <f t="shared" ca="1" si="9"/>
        <v>13.928250599309083</v>
      </c>
      <c r="K36" s="7">
        <f t="shared" ca="1" si="10"/>
        <v>2.1041092310284024</v>
      </c>
      <c r="L36" s="7">
        <f t="shared" ca="1" si="11"/>
        <v>0.1</v>
      </c>
      <c r="M36" s="7">
        <f t="shared" ca="1" si="11"/>
        <v>13.93</v>
      </c>
      <c r="N36" s="7">
        <f t="shared" ca="1" si="11"/>
        <v>2.1</v>
      </c>
      <c r="O36" s="5"/>
      <c r="P36" s="5">
        <f t="shared" ca="1" si="12"/>
        <v>14</v>
      </c>
      <c r="Q36" s="5">
        <f t="shared" ca="1" si="14"/>
        <v>0</v>
      </c>
      <c r="R36" s="5">
        <f t="shared" ca="1" si="14"/>
        <v>0</v>
      </c>
      <c r="S36" s="5">
        <f t="shared" ca="1" si="14"/>
        <v>0</v>
      </c>
      <c r="T36" s="5">
        <f t="shared" ca="1" si="14"/>
        <v>0</v>
      </c>
      <c r="U36" s="5">
        <f t="shared" ca="1" si="14"/>
        <v>0</v>
      </c>
      <c r="V36" s="5">
        <f t="shared" ca="1" si="14"/>
        <v>0</v>
      </c>
    </row>
    <row r="37" spans="1:22">
      <c r="A37" s="7">
        <f t="shared" ca="1" si="0"/>
        <v>17.960854872739443</v>
      </c>
      <c r="B37" s="7">
        <f t="shared" ca="1" si="2"/>
        <v>0.12867953176415675</v>
      </c>
      <c r="C37" s="7">
        <f t="shared" ca="1" si="3"/>
        <v>0.11489198217944735</v>
      </c>
      <c r="D37" s="7">
        <f t="shared" ca="1" si="4"/>
        <v>0.17580098044214115</v>
      </c>
      <c r="E37" s="7">
        <f t="shared" ca="1" si="5"/>
        <v>0.10283660686299581</v>
      </c>
      <c r="F37" s="7">
        <f t="shared" ca="1" si="6"/>
        <v>0.13435143953996417</v>
      </c>
      <c r="G37" s="7">
        <f t="shared" ca="1" si="7"/>
        <v>0.17675003282532892</v>
      </c>
      <c r="H37" s="5">
        <v>31</v>
      </c>
      <c r="I37" s="7">
        <f t="shared" ca="1" si="8"/>
        <v>0.10283660686299581</v>
      </c>
      <c r="J37" s="7">
        <f t="shared" ca="1" si="9"/>
        <v>17.960854872739443</v>
      </c>
      <c r="K37" s="7">
        <f t="shared" ca="1" si="10"/>
        <v>2.6848807780504971</v>
      </c>
      <c r="L37" s="7">
        <f t="shared" ca="1" si="11"/>
        <v>0.1</v>
      </c>
      <c r="M37" s="7">
        <f t="shared" ca="1" si="11"/>
        <v>17.96</v>
      </c>
      <c r="N37" s="7">
        <f t="shared" ca="1" si="11"/>
        <v>2.68</v>
      </c>
      <c r="O37" s="5"/>
      <c r="P37" s="5">
        <f t="shared" ca="1" si="12"/>
        <v>18</v>
      </c>
      <c r="Q37" s="7">
        <f t="shared" ref="Q37:S52" ca="1" si="15">ROUND(B37,2)</f>
        <v>0.13</v>
      </c>
      <c r="R37" s="7">
        <f t="shared" ca="1" si="15"/>
        <v>0.11</v>
      </c>
      <c r="S37" s="7">
        <f t="shared" ca="1" si="15"/>
        <v>0.18</v>
      </c>
      <c r="T37" s="7"/>
      <c r="U37" s="7"/>
      <c r="V37" s="5"/>
    </row>
    <row r="38" spans="1:22">
      <c r="A38" s="7">
        <f t="shared" ca="1" si="0"/>
        <v>15.731672765616636</v>
      </c>
      <c r="B38" s="7">
        <f t="shared" ca="1" si="2"/>
        <v>0.17804376045870912</v>
      </c>
      <c r="C38" s="7">
        <f t="shared" ca="1" si="3"/>
        <v>0.10738414597479515</v>
      </c>
      <c r="D38" s="7">
        <f t="shared" ca="1" si="4"/>
        <v>0.10458698267616715</v>
      </c>
      <c r="E38" s="7">
        <f t="shared" ca="1" si="5"/>
        <v>0.11805706736986106</v>
      </c>
      <c r="F38" s="7">
        <f t="shared" ca="1" si="6"/>
        <v>0.15342612060991004</v>
      </c>
      <c r="G38" s="7">
        <f t="shared" ca="1" si="7"/>
        <v>0.12660285707507699</v>
      </c>
      <c r="H38">
        <v>32</v>
      </c>
      <c r="I38" s="7">
        <f t="shared" ca="1" si="8"/>
        <v>0.10458698267616715</v>
      </c>
      <c r="J38" s="7">
        <f t="shared" ca="1" si="9"/>
        <v>15.731672765616636</v>
      </c>
      <c r="K38" s="7">
        <f t="shared" ca="1" si="10"/>
        <v>2.3599676713973081</v>
      </c>
      <c r="L38" s="7">
        <f t="shared" ca="1" si="11"/>
        <v>0.1</v>
      </c>
      <c r="M38" s="7">
        <f t="shared" ca="1" si="11"/>
        <v>15.73</v>
      </c>
      <c r="N38" s="7">
        <f t="shared" ca="1" si="11"/>
        <v>2.36</v>
      </c>
      <c r="O38" s="5"/>
      <c r="P38" s="5">
        <f t="shared" ca="1" si="12"/>
        <v>16</v>
      </c>
      <c r="Q38" s="7">
        <f t="shared" ca="1" si="15"/>
        <v>0.18</v>
      </c>
      <c r="R38" s="7">
        <f t="shared" ca="1" si="15"/>
        <v>0.11</v>
      </c>
      <c r="S38" s="7">
        <f t="shared" ca="1" si="15"/>
        <v>0.1</v>
      </c>
      <c r="T38" s="7"/>
      <c r="U38" s="7"/>
      <c r="V38" s="5"/>
    </row>
    <row r="39" spans="1:22">
      <c r="A39" s="7">
        <f t="shared" ca="1" si="0"/>
        <v>20.718801935039124</v>
      </c>
      <c r="B39" s="7">
        <f t="shared" ca="1" si="2"/>
        <v>0.14873993132909707</v>
      </c>
      <c r="C39" s="7">
        <f t="shared" ca="1" si="3"/>
        <v>0.11509002256991388</v>
      </c>
      <c r="D39" s="7">
        <f t="shared" ca="1" si="4"/>
        <v>0.14234213263284579</v>
      </c>
      <c r="E39" s="7">
        <f t="shared" ca="1" si="5"/>
        <v>0.14511907850138694</v>
      </c>
      <c r="F39" s="7">
        <f t="shared" ca="1" si="6"/>
        <v>0.12342498617099398</v>
      </c>
      <c r="G39" s="7">
        <f t="shared" ca="1" si="7"/>
        <v>0.1106156066021486</v>
      </c>
      <c r="H39" s="5">
        <v>33</v>
      </c>
      <c r="I39" s="7">
        <f t="shared" ca="1" si="8"/>
        <v>0.1106156066021486</v>
      </c>
      <c r="J39" s="7">
        <f t="shared" ca="1" si="9"/>
        <v>20.718801935039124</v>
      </c>
      <c r="K39" s="7">
        <f t="shared" ca="1" si="10"/>
        <v>3.0720190989779299</v>
      </c>
      <c r="L39" s="7">
        <f t="shared" ca="1" si="11"/>
        <v>0.11</v>
      </c>
      <c r="M39" s="7">
        <f t="shared" ca="1" si="11"/>
        <v>20.72</v>
      </c>
      <c r="N39" s="7">
        <f t="shared" ca="1" si="11"/>
        <v>3.07</v>
      </c>
      <c r="O39" s="5"/>
      <c r="P39" s="5">
        <f t="shared" ca="1" si="12"/>
        <v>21</v>
      </c>
      <c r="Q39" s="7">
        <f t="shared" ca="1" si="15"/>
        <v>0.15</v>
      </c>
      <c r="R39" s="7">
        <f t="shared" ca="1" si="15"/>
        <v>0.12</v>
      </c>
      <c r="S39" s="7">
        <f t="shared" ca="1" si="15"/>
        <v>0.14000000000000001</v>
      </c>
      <c r="T39" s="5"/>
      <c r="U39" s="5"/>
      <c r="V39" s="5"/>
    </row>
    <row r="40" spans="1:22">
      <c r="A40" s="7">
        <f t="shared" ca="1" si="0"/>
        <v>13.831804658692121</v>
      </c>
      <c r="B40" s="7">
        <f t="shared" ca="1" si="2"/>
        <v>0.17858588883858667</v>
      </c>
      <c r="C40" s="7">
        <f t="shared" ca="1" si="3"/>
        <v>0.13621906007765983</v>
      </c>
      <c r="D40" s="7">
        <f t="shared" ca="1" si="4"/>
        <v>0.15176797466143779</v>
      </c>
      <c r="E40" s="7">
        <f t="shared" ca="1" si="5"/>
        <v>0.11229836105804378</v>
      </c>
      <c r="F40" s="7">
        <f t="shared" ca="1" si="6"/>
        <v>0.16895778089558275</v>
      </c>
      <c r="G40" s="7">
        <f t="shared" ca="1" si="7"/>
        <v>0.13833406544966989</v>
      </c>
      <c r="H40">
        <v>34</v>
      </c>
      <c r="I40" s="7">
        <f t="shared" ca="1" si="8"/>
        <v>0.11229836105804378</v>
      </c>
      <c r="J40" s="7">
        <f t="shared" ca="1" si="9"/>
        <v>13.831804658692121</v>
      </c>
      <c r="K40" s="7">
        <f t="shared" ca="1" si="10"/>
        <v>2.1025668270961573</v>
      </c>
      <c r="L40" s="7">
        <f t="shared" ca="1" si="11"/>
        <v>0.11</v>
      </c>
      <c r="M40" s="7">
        <f t="shared" ca="1" si="11"/>
        <v>13.83</v>
      </c>
      <c r="N40" s="7">
        <f t="shared" ca="1" si="11"/>
        <v>2.1</v>
      </c>
      <c r="O40" s="5"/>
      <c r="P40" s="5">
        <f t="shared" ca="1" si="12"/>
        <v>14</v>
      </c>
      <c r="Q40" s="7">
        <f t="shared" ca="1" si="15"/>
        <v>0.18</v>
      </c>
      <c r="R40" s="7">
        <f t="shared" ca="1" si="15"/>
        <v>0.14000000000000001</v>
      </c>
      <c r="S40" s="7">
        <f t="shared" ca="1" si="15"/>
        <v>0.15</v>
      </c>
      <c r="T40" s="5"/>
      <c r="U40" s="5"/>
      <c r="V40" s="5"/>
    </row>
    <row r="41" spans="1:22">
      <c r="A41" s="7">
        <f t="shared" ca="1" si="0"/>
        <v>15.316646526865437</v>
      </c>
      <c r="B41" s="7">
        <f t="shared" ca="1" si="2"/>
        <v>0.1373259588436484</v>
      </c>
      <c r="C41" s="7">
        <f t="shared" ca="1" si="3"/>
        <v>0.11910412657662234</v>
      </c>
      <c r="D41" s="7">
        <f t="shared" ca="1" si="4"/>
        <v>0.15009816038123733</v>
      </c>
      <c r="E41" s="7">
        <f t="shared" ca="1" si="5"/>
        <v>0.12588697294759066</v>
      </c>
      <c r="F41" s="7">
        <f t="shared" ca="1" si="6"/>
        <v>0.13093369468220553</v>
      </c>
      <c r="G41" s="7">
        <f t="shared" ca="1" si="7"/>
        <v>0.15219804134372328</v>
      </c>
      <c r="H41" s="5">
        <v>35</v>
      </c>
      <c r="I41" s="7">
        <f t="shared" ca="1" si="8"/>
        <v>0.11910412657662234</v>
      </c>
      <c r="J41" s="7">
        <f t="shared" ca="1" si="9"/>
        <v>15.316646526865437</v>
      </c>
      <c r="K41" s="7">
        <f t="shared" ca="1" si="10"/>
        <v>2.3045990688057807</v>
      </c>
      <c r="L41" s="7">
        <f t="shared" ca="1" si="11"/>
        <v>0.12</v>
      </c>
      <c r="M41" s="7">
        <f t="shared" ca="1" si="11"/>
        <v>15.32</v>
      </c>
      <c r="N41" s="7">
        <f t="shared" ca="1" si="11"/>
        <v>2.2999999999999998</v>
      </c>
      <c r="O41" s="5"/>
      <c r="P41" s="5">
        <f t="shared" ref="P41:P71" ca="1" si="16">ROUND(A41,0)</f>
        <v>15</v>
      </c>
      <c r="Q41" s="7">
        <f t="shared" ca="1" si="15"/>
        <v>0.14000000000000001</v>
      </c>
      <c r="R41" s="7">
        <f t="shared" ca="1" si="15"/>
        <v>0.12</v>
      </c>
      <c r="S41" s="7">
        <f t="shared" ca="1" si="15"/>
        <v>0.15</v>
      </c>
      <c r="T41" s="5"/>
      <c r="U41" s="5"/>
      <c r="V41" s="5"/>
    </row>
    <row r="42" spans="1:22">
      <c r="A42" s="7">
        <f t="shared" ca="1" si="0"/>
        <v>17.241784908635484</v>
      </c>
      <c r="B42" s="7">
        <f t="shared" ca="1" si="2"/>
        <v>0.11266774549856991</v>
      </c>
      <c r="C42" s="7">
        <f t="shared" ca="1" si="3"/>
        <v>0.12802792621583486</v>
      </c>
      <c r="D42" s="7">
        <f t="shared" ca="1" si="4"/>
        <v>0.10257296931095089</v>
      </c>
      <c r="E42" s="7">
        <f t="shared" ca="1" si="5"/>
        <v>0.12905095434308522</v>
      </c>
      <c r="F42" s="7">
        <f t="shared" ca="1" si="6"/>
        <v>0.10409847010988922</v>
      </c>
      <c r="G42" s="7">
        <f t="shared" ca="1" si="7"/>
        <v>0.16628655043802132</v>
      </c>
      <c r="H42">
        <v>36</v>
      </c>
      <c r="I42" s="7">
        <f t="shared" ca="1" si="8"/>
        <v>0.10257296931095089</v>
      </c>
      <c r="J42" s="7">
        <f t="shared" ca="1" si="9"/>
        <v>17.241784908635484</v>
      </c>
      <c r="K42" s="7">
        <f t="shared" ca="1" si="10"/>
        <v>2.5692127892216909</v>
      </c>
      <c r="L42" s="7">
        <f t="shared" ca="1" si="11"/>
        <v>0.1</v>
      </c>
      <c r="M42" s="7">
        <f t="shared" ca="1" si="11"/>
        <v>17.239999999999998</v>
      </c>
      <c r="N42" s="7">
        <f t="shared" ca="1" si="11"/>
        <v>2.57</v>
      </c>
      <c r="O42" s="5"/>
      <c r="P42" s="5">
        <f t="shared" ca="1" si="16"/>
        <v>17</v>
      </c>
      <c r="Q42" s="7">
        <f t="shared" ca="1" si="15"/>
        <v>0.11</v>
      </c>
      <c r="R42" s="7">
        <f t="shared" ca="1" si="15"/>
        <v>0.13</v>
      </c>
      <c r="S42" s="7">
        <f t="shared" ca="1" si="15"/>
        <v>0.1</v>
      </c>
      <c r="T42" s="5"/>
      <c r="U42" s="5"/>
      <c r="V42" s="5">
        <v>58.969638231686076</v>
      </c>
    </row>
    <row r="43" spans="1:22">
      <c r="A43" s="7">
        <f t="shared" ca="1" si="0"/>
        <v>16.667443191929799</v>
      </c>
      <c r="B43" s="7">
        <f t="shared" ca="1" si="2"/>
        <v>0.10086619049085062</v>
      </c>
      <c r="C43" s="7">
        <f t="shared" ca="1" si="3"/>
        <v>0.13393599143064272</v>
      </c>
      <c r="D43" s="7">
        <f t="shared" ca="1" si="4"/>
        <v>0.14573480477805942</v>
      </c>
      <c r="E43" s="7">
        <f t="shared" ca="1" si="5"/>
        <v>0.11087594384287199</v>
      </c>
      <c r="F43" s="7">
        <f t="shared" ca="1" si="6"/>
        <v>0.14773444857265888</v>
      </c>
      <c r="G43" s="7">
        <f t="shared" ca="1" si="7"/>
        <v>0.18218181714714518</v>
      </c>
      <c r="H43" s="5">
        <v>37</v>
      </c>
      <c r="I43" s="7">
        <f t="shared" ca="1" si="8"/>
        <v>0.10086619049085062</v>
      </c>
      <c r="J43" s="7">
        <f t="shared" ca="1" si="9"/>
        <v>16.667443191929799</v>
      </c>
      <c r="K43" s="7">
        <f t="shared" ca="1" si="10"/>
        <v>2.4983960554560043</v>
      </c>
      <c r="L43" s="7">
        <f t="shared" ca="1" si="11"/>
        <v>0.1</v>
      </c>
      <c r="M43" s="7">
        <f t="shared" ca="1" si="11"/>
        <v>16.670000000000002</v>
      </c>
      <c r="N43" s="7">
        <f t="shared" ca="1" si="11"/>
        <v>2.5</v>
      </c>
      <c r="O43" s="5"/>
      <c r="P43" s="5">
        <f t="shared" ca="1" si="16"/>
        <v>17</v>
      </c>
      <c r="Q43" s="7">
        <f t="shared" ca="1" si="15"/>
        <v>0.1</v>
      </c>
      <c r="R43" s="7">
        <f t="shared" ca="1" si="15"/>
        <v>0.13</v>
      </c>
      <c r="S43" s="7">
        <f t="shared" ca="1" si="15"/>
        <v>0.15</v>
      </c>
      <c r="T43" s="5"/>
      <c r="U43" s="5"/>
      <c r="V43" s="5">
        <v>58.913606311342967</v>
      </c>
    </row>
    <row r="44" spans="1:22">
      <c r="A44" s="7">
        <f t="shared" ca="1" si="0"/>
        <v>16.130530803872936</v>
      </c>
      <c r="B44" s="7">
        <f t="shared" ca="1" si="2"/>
        <v>0.12972146165272011</v>
      </c>
      <c r="C44" s="7">
        <f t="shared" ca="1" si="3"/>
        <v>0.12894738017525861</v>
      </c>
      <c r="D44" s="7">
        <f t="shared" ca="1" si="4"/>
        <v>0.16813586120845186</v>
      </c>
      <c r="E44" s="7">
        <f t="shared" ca="1" si="5"/>
        <v>0.10168022764844106</v>
      </c>
      <c r="F44" s="7">
        <f t="shared" ca="1" si="6"/>
        <v>0.16971392944952385</v>
      </c>
      <c r="G44" s="7">
        <f t="shared" ca="1" si="7"/>
        <v>0.13580946726290477</v>
      </c>
      <c r="H44">
        <v>38</v>
      </c>
      <c r="I44" s="7">
        <f t="shared" ca="1" si="8"/>
        <v>0.10168022764844106</v>
      </c>
      <c r="J44" s="7">
        <f t="shared" ca="1" si="9"/>
        <v>16.130530803872936</v>
      </c>
      <c r="K44" s="7">
        <f t="shared" ca="1" si="10"/>
        <v>2.4235055901814628</v>
      </c>
      <c r="L44" s="7">
        <f t="shared" ca="1" si="11"/>
        <v>0.1</v>
      </c>
      <c r="M44" s="7">
        <f t="shared" ca="1" si="11"/>
        <v>16.13</v>
      </c>
      <c r="N44" s="7">
        <f t="shared" ca="1" si="11"/>
        <v>2.42</v>
      </c>
      <c r="O44" s="5"/>
      <c r="P44" s="5">
        <f t="shared" ca="1" si="16"/>
        <v>16</v>
      </c>
      <c r="Q44" s="7">
        <f t="shared" ca="1" si="15"/>
        <v>0.13</v>
      </c>
      <c r="R44" s="7">
        <f t="shared" ca="1" si="15"/>
        <v>0.13</v>
      </c>
      <c r="S44" s="7">
        <f t="shared" ca="1" si="15"/>
        <v>0.17</v>
      </c>
      <c r="T44" s="5"/>
      <c r="U44" s="5"/>
      <c r="V44" s="5">
        <v>60.512800282770755</v>
      </c>
    </row>
    <row r="45" spans="1:22">
      <c r="A45" s="7">
        <f t="shared" ca="1" si="0"/>
        <v>20.456058302794126</v>
      </c>
      <c r="B45" s="7">
        <f t="shared" ca="1" si="2"/>
        <v>0.13200272843087749</v>
      </c>
      <c r="C45" s="7">
        <f t="shared" ca="1" si="3"/>
        <v>0.13060780790065363</v>
      </c>
      <c r="D45" s="7">
        <f t="shared" ca="1" si="4"/>
        <v>0.16237165415799004</v>
      </c>
      <c r="E45" s="7">
        <f t="shared" ca="1" si="5"/>
        <v>0.12378438240903462</v>
      </c>
      <c r="F45" s="7">
        <f t="shared" ca="1" si="6"/>
        <v>0.10764518760596466</v>
      </c>
      <c r="G45" s="7">
        <f t="shared" ca="1" si="7"/>
        <v>0.15627715979798301</v>
      </c>
      <c r="H45" s="5">
        <v>39</v>
      </c>
      <c r="I45" s="7">
        <f t="shared" ca="1" si="8"/>
        <v>0.10764518760596466</v>
      </c>
      <c r="J45" s="7">
        <f t="shared" ca="1" si="9"/>
        <v>20.456058302794126</v>
      </c>
      <c r="K45" s="7">
        <f t="shared" ca="1" si="10"/>
        <v>3.0383924604423753</v>
      </c>
      <c r="L45" s="7">
        <f t="shared" ca="1" si="11"/>
        <v>0.11</v>
      </c>
      <c r="M45" s="7">
        <f t="shared" ca="1" si="11"/>
        <v>20.46</v>
      </c>
      <c r="N45" s="7">
        <f t="shared" ca="1" si="11"/>
        <v>3.04</v>
      </c>
      <c r="O45" s="5"/>
      <c r="P45" s="5">
        <f t="shared" ca="1" si="16"/>
        <v>20</v>
      </c>
      <c r="Q45" s="7">
        <f t="shared" ca="1" si="15"/>
        <v>0.13</v>
      </c>
      <c r="R45" s="7">
        <f t="shared" ca="1" si="15"/>
        <v>0.13</v>
      </c>
      <c r="S45" s="7">
        <f t="shared" ca="1" si="15"/>
        <v>0.16</v>
      </c>
      <c r="T45" s="5"/>
      <c r="U45" s="5"/>
      <c r="V45" s="5">
        <v>55.178410152059662</v>
      </c>
    </row>
    <row r="46" spans="1:22">
      <c r="A46" s="7">
        <f t="shared" ca="1" si="0"/>
        <v>13.059299163686095</v>
      </c>
      <c r="B46" s="7">
        <f t="shared" ca="1" si="2"/>
        <v>0.15061757901637157</v>
      </c>
      <c r="C46" s="7">
        <f t="shared" ca="1" si="3"/>
        <v>0.13540053330013829</v>
      </c>
      <c r="D46" s="7">
        <f t="shared" ca="1" si="4"/>
        <v>0.14780103280361118</v>
      </c>
      <c r="E46" s="7">
        <f t="shared" ca="1" si="5"/>
        <v>0.12414969226271613</v>
      </c>
      <c r="F46" s="7">
        <f t="shared" ca="1" si="6"/>
        <v>0.1687705126614685</v>
      </c>
      <c r="G46" s="7">
        <f t="shared" ca="1" si="7"/>
        <v>0.10659821281181649</v>
      </c>
      <c r="H46">
        <v>40</v>
      </c>
      <c r="I46" s="7">
        <f t="shared" ca="1" si="8"/>
        <v>0.10659821281181649</v>
      </c>
      <c r="J46" s="7">
        <f t="shared" ca="1" si="9"/>
        <v>13.059299163686095</v>
      </c>
      <c r="K46" s="7">
        <f t="shared" ca="1" si="10"/>
        <v>1.9846623895060311</v>
      </c>
      <c r="L46" s="7">
        <f t="shared" ca="1" si="11"/>
        <v>0.11</v>
      </c>
      <c r="M46" s="7">
        <f t="shared" ca="1" si="11"/>
        <v>13.06</v>
      </c>
      <c r="N46" s="7">
        <f t="shared" ca="1" si="11"/>
        <v>1.98</v>
      </c>
      <c r="O46" s="5"/>
      <c r="P46" s="5">
        <f t="shared" ca="1" si="16"/>
        <v>13</v>
      </c>
      <c r="Q46" s="7">
        <f t="shared" ca="1" si="15"/>
        <v>0.15</v>
      </c>
      <c r="R46" s="7">
        <f t="shared" ca="1" si="15"/>
        <v>0.14000000000000001</v>
      </c>
      <c r="S46" s="7">
        <f t="shared" ca="1" si="15"/>
        <v>0.15</v>
      </c>
      <c r="T46" s="5"/>
      <c r="U46" s="5"/>
      <c r="V46" s="5">
        <v>60.105144399761684</v>
      </c>
    </row>
    <row r="47" spans="1:22">
      <c r="A47" s="7">
        <f t="shared" ca="1" si="0"/>
        <v>12.929765096288508</v>
      </c>
      <c r="B47" s="7">
        <f t="shared" ca="1" si="2"/>
        <v>0.12435788388978179</v>
      </c>
      <c r="C47" s="7">
        <f t="shared" ca="1" si="3"/>
        <v>0.13586769441523044</v>
      </c>
      <c r="D47" s="7">
        <f t="shared" ca="1" si="4"/>
        <v>0.10181364876627373</v>
      </c>
      <c r="E47" s="7">
        <f t="shared" ca="1" si="5"/>
        <v>0.1035828437102124</v>
      </c>
      <c r="F47" s="7">
        <f t="shared" ca="1" si="6"/>
        <v>0.10790716836216332</v>
      </c>
      <c r="G47" s="7">
        <f t="shared" ca="1" si="7"/>
        <v>0.11934336562511716</v>
      </c>
      <c r="H47" s="5">
        <v>41</v>
      </c>
      <c r="I47" s="7">
        <f t="shared" ca="1" si="8"/>
        <v>0.10181364876627373</v>
      </c>
      <c r="J47" s="7">
        <f t="shared" ca="1" si="9"/>
        <v>12.929765096288508</v>
      </c>
      <c r="K47" s="7">
        <f t="shared" ca="1" si="10"/>
        <v>1.946091100151041</v>
      </c>
      <c r="L47" s="7">
        <f t="shared" ca="1" si="11"/>
        <v>0.1</v>
      </c>
      <c r="M47" s="7">
        <f t="shared" ca="1" si="11"/>
        <v>12.93</v>
      </c>
      <c r="N47" s="7">
        <f t="shared" ca="1" si="11"/>
        <v>1.95</v>
      </c>
      <c r="O47" s="5"/>
      <c r="P47" s="5">
        <f t="shared" ca="1" si="16"/>
        <v>13</v>
      </c>
      <c r="Q47" s="7">
        <f t="shared" ca="1" si="15"/>
        <v>0.12</v>
      </c>
      <c r="R47" s="7">
        <f t="shared" ca="1" si="15"/>
        <v>0.14000000000000001</v>
      </c>
      <c r="S47" s="7">
        <f t="shared" ca="1" si="15"/>
        <v>0.1</v>
      </c>
      <c r="T47" s="5"/>
      <c r="U47" s="5"/>
      <c r="V47" s="5">
        <v>60.290756518456242</v>
      </c>
    </row>
    <row r="48" spans="1:22">
      <c r="A48" s="7">
        <f t="shared" ca="1" si="0"/>
        <v>14.111652458689086</v>
      </c>
      <c r="B48" s="7">
        <f t="shared" ca="1" si="2"/>
        <v>0.15523537646152699</v>
      </c>
      <c r="C48" s="7">
        <f t="shared" ca="1" si="3"/>
        <v>0.12217486534426572</v>
      </c>
      <c r="D48" s="7">
        <f t="shared" ca="1" si="4"/>
        <v>0.10624843654331177</v>
      </c>
      <c r="E48" s="7">
        <f t="shared" ca="1" si="5"/>
        <v>0.13925562848594567</v>
      </c>
      <c r="F48" s="7">
        <f t="shared" ca="1" si="6"/>
        <v>0.11222540551862349</v>
      </c>
      <c r="G48" s="7">
        <f t="shared" ca="1" si="7"/>
        <v>0.13352300863988575</v>
      </c>
      <c r="H48">
        <v>42</v>
      </c>
      <c r="I48" s="7">
        <f t="shared" ca="1" si="8"/>
        <v>0.10624843654331177</v>
      </c>
      <c r="J48" s="7">
        <f t="shared" ca="1" si="9"/>
        <v>14.111652458689086</v>
      </c>
      <c r="K48" s="7">
        <f t="shared" ca="1" si="10"/>
        <v>2.1257593113832352</v>
      </c>
      <c r="L48" s="7">
        <f t="shared" ca="1" si="11"/>
        <v>0.11</v>
      </c>
      <c r="M48" s="7">
        <f t="shared" ca="1" si="11"/>
        <v>14.11</v>
      </c>
      <c r="N48" s="7">
        <f t="shared" ca="1" si="11"/>
        <v>2.13</v>
      </c>
      <c r="O48" s="5"/>
      <c r="P48" s="5">
        <f t="shared" ca="1" si="16"/>
        <v>14</v>
      </c>
      <c r="Q48" s="7">
        <f t="shared" ca="1" si="15"/>
        <v>0.16</v>
      </c>
      <c r="R48" s="7">
        <f t="shared" ca="1" si="15"/>
        <v>0.12</v>
      </c>
      <c r="S48" s="7">
        <f t="shared" ca="1" si="15"/>
        <v>0.11</v>
      </c>
      <c r="T48" s="5"/>
      <c r="U48" s="5"/>
      <c r="V48" s="5">
        <v>58.239842960508113</v>
      </c>
    </row>
    <row r="49" spans="1:22">
      <c r="A49" s="7">
        <f t="shared" ca="1" si="0"/>
        <v>20.772491565740964</v>
      </c>
      <c r="B49" s="7">
        <f t="shared" ca="1" si="2"/>
        <v>0.10620828588336179</v>
      </c>
      <c r="C49" s="7">
        <f t="shared" ca="1" si="3"/>
        <v>0.10879535832199337</v>
      </c>
      <c r="D49" s="7">
        <f t="shared" ca="1" si="4"/>
        <v>0.1778898303300579</v>
      </c>
      <c r="E49" s="7">
        <f t="shared" ca="1" si="5"/>
        <v>0.10953085905799145</v>
      </c>
      <c r="F49" s="7">
        <f t="shared" ca="1" si="6"/>
        <v>0.11252718704813294</v>
      </c>
      <c r="G49" s="7">
        <f t="shared" ca="1" si="7"/>
        <v>0.11645314518343713</v>
      </c>
      <c r="H49" s="5">
        <v>43</v>
      </c>
      <c r="I49" s="7">
        <f t="shared" ca="1" si="8"/>
        <v>0.10620828588336179</v>
      </c>
      <c r="J49" s="7">
        <f t="shared" ca="1" si="9"/>
        <v>20.772491565740964</v>
      </c>
      <c r="K49" s="7">
        <f t="shared" ca="1" si="10"/>
        <v>3.0719851759379919</v>
      </c>
      <c r="L49" s="7">
        <f t="shared" ca="1" si="11"/>
        <v>0.11</v>
      </c>
      <c r="M49" s="7">
        <f t="shared" ca="1" si="11"/>
        <v>20.77</v>
      </c>
      <c r="N49" s="7">
        <f t="shared" ca="1" si="11"/>
        <v>3.07</v>
      </c>
      <c r="O49" s="5"/>
      <c r="P49" s="5">
        <f t="shared" ca="1" si="16"/>
        <v>21</v>
      </c>
      <c r="Q49" s="7">
        <f t="shared" ca="1" si="15"/>
        <v>0.11</v>
      </c>
      <c r="R49" s="7">
        <f t="shared" ca="1" si="15"/>
        <v>0.11</v>
      </c>
      <c r="S49" s="7">
        <f t="shared" ca="1" si="15"/>
        <v>0.18</v>
      </c>
      <c r="T49" s="5"/>
      <c r="U49" s="5"/>
      <c r="V49" s="5">
        <v>58.548576140592566</v>
      </c>
    </row>
    <row r="50" spans="1:22">
      <c r="A50" s="7">
        <f t="shared" ca="1" si="0"/>
        <v>15.831775107480707</v>
      </c>
      <c r="B50" s="7">
        <f t="shared" ca="1" si="2"/>
        <v>0.16140963214599965</v>
      </c>
      <c r="C50" s="7">
        <f t="shared" ca="1" si="3"/>
        <v>0.13054111710692748</v>
      </c>
      <c r="D50" s="7">
        <f t="shared" ca="1" si="4"/>
        <v>0.16107987724951767</v>
      </c>
      <c r="E50" s="7">
        <f t="shared" ca="1" si="5"/>
        <v>0.11818134412135241</v>
      </c>
      <c r="F50" s="7">
        <f t="shared" ca="1" si="6"/>
        <v>0.1492703425554272</v>
      </c>
      <c r="G50" s="7">
        <f t="shared" ca="1" si="7"/>
        <v>0.19465951446190577</v>
      </c>
      <c r="H50">
        <v>44</v>
      </c>
      <c r="I50" s="7">
        <f t="shared" ca="1" si="8"/>
        <v>0.11818134412135241</v>
      </c>
      <c r="J50" s="7">
        <f t="shared" ca="1" si="9"/>
        <v>15.831775107480707</v>
      </c>
      <c r="K50" s="7">
        <f t="shared" ca="1" si="10"/>
        <v>2.3924167050174061</v>
      </c>
      <c r="L50" s="7">
        <f t="shared" ca="1" si="11"/>
        <v>0.12</v>
      </c>
      <c r="M50" s="7">
        <f t="shared" ca="1" si="11"/>
        <v>15.83</v>
      </c>
      <c r="N50" s="7">
        <f t="shared" ca="1" si="11"/>
        <v>2.39</v>
      </c>
      <c r="O50" s="5"/>
      <c r="P50" s="5">
        <f t="shared" ca="1" si="16"/>
        <v>16</v>
      </c>
      <c r="Q50" s="7">
        <f t="shared" ca="1" si="15"/>
        <v>0.16</v>
      </c>
      <c r="R50" s="7">
        <f t="shared" ca="1" si="15"/>
        <v>0.13</v>
      </c>
      <c r="S50" s="7">
        <f t="shared" ca="1" si="15"/>
        <v>0.16</v>
      </c>
      <c r="T50" s="5"/>
      <c r="U50" s="5"/>
      <c r="V50" s="5">
        <v>58.400260344453386</v>
      </c>
    </row>
    <row r="51" spans="1:22">
      <c r="A51" s="7">
        <f t="shared" ca="1" si="0"/>
        <v>16.801023347590096</v>
      </c>
      <c r="B51" s="7">
        <f t="shared" ca="1" si="2"/>
        <v>0.13027883404382445</v>
      </c>
      <c r="C51" s="7">
        <f t="shared" ca="1" si="3"/>
        <v>0.12489208276105676</v>
      </c>
      <c r="D51" s="7">
        <f t="shared" ca="1" si="4"/>
        <v>0.13105390109704082</v>
      </c>
      <c r="E51" s="7">
        <f t="shared" ca="1" si="5"/>
        <v>0.14901891883834611</v>
      </c>
      <c r="F51" s="7">
        <f t="shared" ca="1" si="6"/>
        <v>0.14667256217118288</v>
      </c>
      <c r="G51" s="7">
        <f t="shared" ca="1" si="7"/>
        <v>0.20918180694282751</v>
      </c>
      <c r="H51" s="5">
        <v>45</v>
      </c>
      <c r="I51" s="7">
        <f t="shared" ca="1" si="8"/>
        <v>0.12489208276105676</v>
      </c>
      <c r="J51" s="7">
        <f t="shared" ca="1" si="9"/>
        <v>16.801023347590096</v>
      </c>
      <c r="K51" s="7">
        <f t="shared" ca="1" si="10"/>
        <v>2.5274459219206249</v>
      </c>
      <c r="L51" s="7">
        <f t="shared" ca="1" si="11"/>
        <v>0.12</v>
      </c>
      <c r="M51" s="7">
        <f t="shared" ca="1" si="11"/>
        <v>16.8</v>
      </c>
      <c r="N51" s="7">
        <f t="shared" ca="1" si="11"/>
        <v>2.5299999999999998</v>
      </c>
      <c r="O51" s="5"/>
      <c r="P51" s="5">
        <f t="shared" ca="1" si="16"/>
        <v>17</v>
      </c>
      <c r="Q51" s="7">
        <f t="shared" ca="1" si="15"/>
        <v>0.13</v>
      </c>
      <c r="R51" s="7">
        <f t="shared" ca="1" si="15"/>
        <v>0.12</v>
      </c>
      <c r="S51" s="7">
        <f t="shared" ca="1" si="15"/>
        <v>0.13</v>
      </c>
      <c r="T51" s="5"/>
      <c r="U51" s="5"/>
      <c r="V51" s="5">
        <v>60.290306776668004</v>
      </c>
    </row>
    <row r="52" spans="1:22">
      <c r="A52" s="7">
        <f t="shared" ca="1" si="0"/>
        <v>15.461035588045124</v>
      </c>
      <c r="B52" s="7">
        <f t="shared" ca="1" si="2"/>
        <v>0.11099475023924668</v>
      </c>
      <c r="C52" s="7">
        <f t="shared" ca="1" si="3"/>
        <v>0.12027748377835186</v>
      </c>
      <c r="D52" s="7">
        <f t="shared" ca="1" si="4"/>
        <v>0.10595139771089407</v>
      </c>
      <c r="E52" s="7">
        <f t="shared" ca="1" si="5"/>
        <v>0.10818796421940746</v>
      </c>
      <c r="F52" s="7">
        <f t="shared" ca="1" si="6"/>
        <v>0.12307830782885633</v>
      </c>
      <c r="G52" s="7">
        <f t="shared" ca="1" si="7"/>
        <v>0.13328612484461835</v>
      </c>
      <c r="H52">
        <v>46</v>
      </c>
      <c r="I52" s="7">
        <f t="shared" ca="1" si="8"/>
        <v>0.10595139771089407</v>
      </c>
      <c r="J52" s="7">
        <f t="shared" ca="1" si="9"/>
        <v>15.461035588045124</v>
      </c>
      <c r="K52" s="7">
        <f t="shared" ca="1" si="10"/>
        <v>2.3089730880952146</v>
      </c>
      <c r="L52" s="7">
        <f t="shared" ca="1" si="11"/>
        <v>0.11</v>
      </c>
      <c r="M52" s="7">
        <f t="shared" ca="1" si="11"/>
        <v>15.46</v>
      </c>
      <c r="N52" s="7">
        <f t="shared" ca="1" si="11"/>
        <v>2.31</v>
      </c>
      <c r="O52" s="5"/>
      <c r="P52" s="5">
        <f t="shared" ca="1" si="16"/>
        <v>15</v>
      </c>
      <c r="Q52" s="7">
        <f t="shared" ca="1" si="15"/>
        <v>0.11</v>
      </c>
      <c r="R52" s="7">
        <f t="shared" ca="1" si="15"/>
        <v>0.12</v>
      </c>
      <c r="S52" s="7">
        <f t="shared" ca="1" si="15"/>
        <v>0.11</v>
      </c>
      <c r="T52" s="5"/>
      <c r="U52" s="5"/>
      <c r="V52" s="5">
        <v>57.075556257998976</v>
      </c>
    </row>
    <row r="53" spans="1:22">
      <c r="A53" s="7">
        <f t="shared" ca="1" si="0"/>
        <v>15.41022396207177</v>
      </c>
      <c r="B53" s="7">
        <f t="shared" ca="1" si="2"/>
        <v>0.1581887760023431</v>
      </c>
      <c r="C53" s="7">
        <f t="shared" ca="1" si="3"/>
        <v>0.12181977924854805</v>
      </c>
      <c r="D53" s="7">
        <f t="shared" ca="1" si="4"/>
        <v>0.16258373657335534</v>
      </c>
      <c r="E53" s="7">
        <f t="shared" ca="1" si="5"/>
        <v>0.13174559982922487</v>
      </c>
      <c r="F53" s="7">
        <f t="shared" ca="1" si="6"/>
        <v>0.1410021129599163</v>
      </c>
      <c r="G53" s="7">
        <f t="shared" ca="1" si="7"/>
        <v>0.12129109711878289</v>
      </c>
      <c r="H53" s="5">
        <v>47</v>
      </c>
      <c r="I53" s="7">
        <f t="shared" ca="1" si="8"/>
        <v>0.12129109711878289</v>
      </c>
      <c r="J53" s="7">
        <f t="shared" ca="1" si="9"/>
        <v>15.41022396207177</v>
      </c>
      <c r="K53" s="7">
        <f t="shared" ca="1" si="10"/>
        <v>2.3209792948291339</v>
      </c>
      <c r="L53" s="7">
        <f t="shared" ca="1" si="11"/>
        <v>0.12</v>
      </c>
      <c r="M53" s="7">
        <f t="shared" ca="1" si="11"/>
        <v>15.41</v>
      </c>
      <c r="N53" s="7">
        <f t="shared" ca="1" si="11"/>
        <v>2.3199999999999998</v>
      </c>
      <c r="O53" s="5"/>
      <c r="P53" s="5">
        <f t="shared" ca="1" si="16"/>
        <v>15</v>
      </c>
      <c r="Q53" s="7">
        <f t="shared" ref="Q53:S71" ca="1" si="17">ROUND(B53,2)</f>
        <v>0.16</v>
      </c>
      <c r="R53" s="7">
        <f t="shared" ca="1" si="17"/>
        <v>0.12</v>
      </c>
      <c r="S53" s="7">
        <f t="shared" ca="1" si="17"/>
        <v>0.16</v>
      </c>
      <c r="T53" s="5"/>
      <c r="U53" s="5"/>
      <c r="V53" s="5">
        <v>60.358251354360853</v>
      </c>
    </row>
    <row r="54" spans="1:22">
      <c r="A54" s="7">
        <f t="shared" ca="1" si="0"/>
        <v>19.129084412841344</v>
      </c>
      <c r="B54" s="7">
        <f t="shared" ca="1" si="2"/>
        <v>0.10990996080014021</v>
      </c>
      <c r="C54" s="7">
        <f t="shared" ca="1" si="3"/>
        <v>0.11735401202113147</v>
      </c>
      <c r="D54" s="7">
        <f t="shared" ca="1" si="4"/>
        <v>0.17005162754233033</v>
      </c>
      <c r="E54" s="7">
        <f t="shared" ca="1" si="5"/>
        <v>0.14947577130901804</v>
      </c>
      <c r="F54" s="7">
        <f t="shared" ca="1" si="6"/>
        <v>0.11975142890872795</v>
      </c>
      <c r="G54" s="7">
        <f t="shared" ca="1" si="7"/>
        <v>0.19710482007948549</v>
      </c>
      <c r="H54">
        <v>48</v>
      </c>
      <c r="I54" s="7">
        <f t="shared" ca="1" si="8"/>
        <v>0.10990996080014021</v>
      </c>
      <c r="J54" s="7">
        <f t="shared" ca="1" si="9"/>
        <v>19.129084412841344</v>
      </c>
      <c r="K54" s="7">
        <f t="shared" ca="1" si="10"/>
        <v>2.8561045762145971</v>
      </c>
      <c r="L54" s="7">
        <f t="shared" ca="1" si="11"/>
        <v>0.11</v>
      </c>
      <c r="M54" s="7">
        <f t="shared" ca="1" si="11"/>
        <v>19.13</v>
      </c>
      <c r="N54" s="7">
        <f t="shared" ca="1" si="11"/>
        <v>2.86</v>
      </c>
      <c r="O54" s="5"/>
      <c r="P54" s="5">
        <f t="shared" ca="1" si="16"/>
        <v>19</v>
      </c>
      <c r="Q54" s="7">
        <f t="shared" ca="1" si="17"/>
        <v>0.11</v>
      </c>
      <c r="R54" s="7">
        <f t="shared" ca="1" si="17"/>
        <v>0.12</v>
      </c>
      <c r="S54" s="7">
        <f t="shared" ca="1" si="17"/>
        <v>0.17</v>
      </c>
      <c r="T54" s="5"/>
      <c r="U54" s="5"/>
      <c r="V54" s="5">
        <v>60.019437508122479</v>
      </c>
    </row>
    <row r="55" spans="1:22">
      <c r="A55" s="7">
        <f t="shared" ca="1" si="0"/>
        <v>17.695236715857813</v>
      </c>
      <c r="B55" s="7">
        <f t="shared" ca="1" si="2"/>
        <v>0.11127693002622727</v>
      </c>
      <c r="C55" s="7">
        <f t="shared" ca="1" si="3"/>
        <v>0.11174277620591896</v>
      </c>
      <c r="D55" s="7">
        <f t="shared" ca="1" si="4"/>
        <v>0.10065293481244075</v>
      </c>
      <c r="E55" s="7">
        <f t="shared" ca="1" si="5"/>
        <v>0.1342149122946856</v>
      </c>
      <c r="F55" s="7">
        <f t="shared" ca="1" si="6"/>
        <v>0.1228800296064373</v>
      </c>
      <c r="G55" s="7">
        <f t="shared" ca="1" si="7"/>
        <v>0.19260178316012477</v>
      </c>
      <c r="H55" s="5">
        <v>49</v>
      </c>
      <c r="I55" s="7">
        <f t="shared" ca="1" si="8"/>
        <v>0.10065293481244075</v>
      </c>
      <c r="J55" s="7">
        <f t="shared" ca="1" si="9"/>
        <v>17.695236715857813</v>
      </c>
      <c r="K55" s="7">
        <f t="shared" ca="1" si="10"/>
        <v>2.6383722974233783</v>
      </c>
      <c r="L55" s="7">
        <f t="shared" ca="1" si="11"/>
        <v>0.1</v>
      </c>
      <c r="M55" s="7">
        <f t="shared" ca="1" si="11"/>
        <v>17.7</v>
      </c>
      <c r="N55" s="7">
        <f t="shared" ca="1" si="11"/>
        <v>2.64</v>
      </c>
      <c r="O55" s="5"/>
      <c r="P55" s="5">
        <f t="shared" ca="1" si="16"/>
        <v>18</v>
      </c>
      <c r="Q55" s="7">
        <f t="shared" ca="1" si="17"/>
        <v>0.11</v>
      </c>
      <c r="R55" s="7">
        <f t="shared" ca="1" si="17"/>
        <v>0.11</v>
      </c>
      <c r="S55" s="7">
        <f t="shared" ca="1" si="17"/>
        <v>0.1</v>
      </c>
      <c r="T55" s="5"/>
      <c r="U55" s="5"/>
      <c r="V55" s="5">
        <v>56.435802629591279</v>
      </c>
    </row>
    <row r="56" spans="1:22">
      <c r="A56" s="7">
        <f t="shared" ca="1" si="0"/>
        <v>14.923486307557685</v>
      </c>
      <c r="B56" s="7">
        <f t="shared" ca="1" si="2"/>
        <v>0.1768290464002864</v>
      </c>
      <c r="C56" s="7">
        <f t="shared" ca="1" si="3"/>
        <v>0.11939810168898014</v>
      </c>
      <c r="D56" s="7">
        <f t="shared" ca="1" si="4"/>
        <v>0.1527693234895231</v>
      </c>
      <c r="E56" s="7">
        <f t="shared" ca="1" si="5"/>
        <v>0.14992475372546643</v>
      </c>
      <c r="F56" s="7">
        <f t="shared" ca="1" si="6"/>
        <v>0.15403967037869049</v>
      </c>
      <c r="G56" s="7">
        <f t="shared" ca="1" si="7"/>
        <v>0.20224755933517902</v>
      </c>
      <c r="H56">
        <v>50</v>
      </c>
      <c r="I56" s="7">
        <f t="shared" ca="1" si="8"/>
        <v>0.11939810168898014</v>
      </c>
      <c r="J56" s="7">
        <f t="shared" ca="1" si="9"/>
        <v>14.923486307557685</v>
      </c>
      <c r="K56" s="7">
        <f t="shared" ca="1" si="10"/>
        <v>2.2683849660822584</v>
      </c>
      <c r="L56" s="7">
        <f t="shared" ca="1" si="11"/>
        <v>0.12</v>
      </c>
      <c r="M56" s="7">
        <f t="shared" ca="1" si="11"/>
        <v>14.92</v>
      </c>
      <c r="N56" s="7">
        <f t="shared" ca="1" si="11"/>
        <v>2.27</v>
      </c>
      <c r="O56" s="5"/>
      <c r="P56" s="5">
        <f t="shared" ca="1" si="16"/>
        <v>15</v>
      </c>
      <c r="Q56" s="7">
        <f t="shared" ca="1" si="17"/>
        <v>0.18</v>
      </c>
      <c r="R56" s="7">
        <f t="shared" ca="1" si="17"/>
        <v>0.12</v>
      </c>
      <c r="S56" s="7">
        <f t="shared" ca="1" si="17"/>
        <v>0.15</v>
      </c>
      <c r="T56" s="5"/>
      <c r="U56" s="5"/>
      <c r="V56" s="5">
        <v>55.295801534871025</v>
      </c>
    </row>
    <row r="57" spans="1:22">
      <c r="A57" s="7">
        <f t="shared" ca="1" si="0"/>
        <v>12.096727476354291</v>
      </c>
      <c r="B57" s="7">
        <f t="shared" ca="1" si="2"/>
        <v>0.1269328987836133</v>
      </c>
      <c r="C57" s="7">
        <f t="shared" ca="1" si="3"/>
        <v>0.11440096012073603</v>
      </c>
      <c r="D57" s="7">
        <f t="shared" ca="1" si="4"/>
        <v>0.1376680299683713</v>
      </c>
      <c r="E57" s="7">
        <f t="shared" ca="1" si="5"/>
        <v>0.11308964108918708</v>
      </c>
      <c r="F57" s="7">
        <f t="shared" ca="1" si="6"/>
        <v>0.10461916237919111</v>
      </c>
      <c r="G57" s="7">
        <f t="shared" ca="1" si="7"/>
        <v>0.15066289746125849</v>
      </c>
      <c r="H57" s="5">
        <v>51</v>
      </c>
      <c r="I57" s="7">
        <f t="shared" ca="1" si="8"/>
        <v>0.10461916237919111</v>
      </c>
      <c r="J57" s="7">
        <f t="shared" ca="1" si="9"/>
        <v>12.096727476354291</v>
      </c>
      <c r="K57" s="7">
        <f t="shared" ca="1" si="10"/>
        <v>1.8348715808795208</v>
      </c>
      <c r="P57" s="5">
        <f t="shared" ca="1" si="16"/>
        <v>12</v>
      </c>
      <c r="Q57" s="7">
        <f t="shared" ca="1" si="17"/>
        <v>0.13</v>
      </c>
      <c r="R57" s="7">
        <f t="shared" ca="1" si="17"/>
        <v>0.11</v>
      </c>
      <c r="S57" s="7">
        <f t="shared" ca="1" si="17"/>
        <v>0.14000000000000001</v>
      </c>
      <c r="T57" s="5"/>
      <c r="U57" s="5"/>
      <c r="V57" s="5"/>
    </row>
    <row r="58" spans="1:22">
      <c r="A58" s="7">
        <f t="shared" ca="1" si="0"/>
        <v>18.993758776165549</v>
      </c>
      <c r="B58" s="7">
        <f t="shared" ca="1" si="2"/>
        <v>0.15087332644256454</v>
      </c>
      <c r="C58" s="7">
        <f t="shared" ca="1" si="3"/>
        <v>0.11286292907204629</v>
      </c>
      <c r="D58" s="7">
        <f t="shared" ca="1" si="4"/>
        <v>0.18093934468534886</v>
      </c>
      <c r="E58" s="7">
        <f t="shared" ca="1" si="5"/>
        <v>0.14380250241541545</v>
      </c>
      <c r="F58" s="7">
        <f t="shared" ca="1" si="6"/>
        <v>0.14273947120935959</v>
      </c>
      <c r="G58" s="7">
        <f t="shared" ca="1" si="7"/>
        <v>0.15542986684476345</v>
      </c>
      <c r="H58">
        <v>52</v>
      </c>
      <c r="I58" s="7">
        <f t="shared" ca="1" si="8"/>
        <v>0.11286292907204629</v>
      </c>
      <c r="J58" s="7">
        <f t="shared" ca="1" si="9"/>
        <v>18.993758776165549</v>
      </c>
      <c r="K58" s="7">
        <f t="shared" ca="1" si="10"/>
        <v>2.8400580309764356</v>
      </c>
      <c r="P58" s="5">
        <f t="shared" ca="1" si="16"/>
        <v>19</v>
      </c>
      <c r="Q58" s="7">
        <f t="shared" ca="1" si="17"/>
        <v>0.15</v>
      </c>
      <c r="R58" s="7">
        <f t="shared" ca="1" si="17"/>
        <v>0.11</v>
      </c>
      <c r="S58" s="7">
        <f t="shared" ca="1" si="17"/>
        <v>0.18</v>
      </c>
      <c r="T58" s="5"/>
      <c r="U58" s="5"/>
      <c r="V58" s="5"/>
    </row>
    <row r="59" spans="1:22">
      <c r="A59" s="7">
        <f t="shared" ca="1" si="0"/>
        <v>13.271692239976595</v>
      </c>
      <c r="B59" s="7">
        <f t="shared" ca="1" si="2"/>
        <v>0.10617437948329106</v>
      </c>
      <c r="C59" s="7">
        <f t="shared" ca="1" si="3"/>
        <v>0.11774509362966074</v>
      </c>
      <c r="D59" s="7">
        <f t="shared" ca="1" si="4"/>
        <v>0.13619459121364941</v>
      </c>
      <c r="E59" s="7">
        <f t="shared" ca="1" si="5"/>
        <v>0.11308565409855441</v>
      </c>
      <c r="F59" s="7">
        <f t="shared" ca="1" si="6"/>
        <v>0.13942250989143823</v>
      </c>
      <c r="G59" s="7">
        <f t="shared" ca="1" si="7"/>
        <v>0.19779846197850592</v>
      </c>
      <c r="H59" s="5">
        <v>53</v>
      </c>
      <c r="I59" s="7">
        <f t="shared" ca="1" si="8"/>
        <v>0.10617437948329106</v>
      </c>
      <c r="J59" s="7">
        <f t="shared" ca="1" si="9"/>
        <v>13.271692239976595</v>
      </c>
      <c r="K59" s="7">
        <f t="shared" ca="1" si="10"/>
        <v>2.0117304186102425</v>
      </c>
      <c r="P59" s="5">
        <f t="shared" ca="1" si="16"/>
        <v>13</v>
      </c>
      <c r="Q59" s="7">
        <f t="shared" ca="1" si="17"/>
        <v>0.11</v>
      </c>
      <c r="R59" s="7">
        <f t="shared" ca="1" si="17"/>
        <v>0.12</v>
      </c>
      <c r="S59" s="7">
        <f t="shared" ca="1" si="17"/>
        <v>0.14000000000000001</v>
      </c>
      <c r="T59" s="5"/>
      <c r="U59" s="5"/>
      <c r="V59" s="5"/>
    </row>
    <row r="60" spans="1:22">
      <c r="A60" s="7">
        <f t="shared" ca="1" si="0"/>
        <v>19.529137698215376</v>
      </c>
      <c r="B60" s="25">
        <f t="shared" ca="1" si="2"/>
        <v>0.12046329878500295</v>
      </c>
      <c r="C60" s="7">
        <f t="shared" ca="1" si="3"/>
        <v>0.10770020443120853</v>
      </c>
      <c r="D60" s="7">
        <f t="shared" ca="1" si="4"/>
        <v>0.15559209197731907</v>
      </c>
      <c r="E60" s="7">
        <f t="shared" ca="1" si="5"/>
        <v>0.10599453805434514</v>
      </c>
      <c r="F60" s="7">
        <f t="shared" ca="1" si="6"/>
        <v>0.138944931278732</v>
      </c>
      <c r="G60" s="7">
        <f t="shared" ca="1" si="7"/>
        <v>0.13219868371693799</v>
      </c>
      <c r="H60">
        <v>54</v>
      </c>
      <c r="I60" s="7">
        <f t="shared" ca="1" si="8"/>
        <v>0.10599453805434514</v>
      </c>
      <c r="J60" s="7">
        <f t="shared" ca="1" si="9"/>
        <v>19.529137698215376</v>
      </c>
      <c r="K60" s="7">
        <f t="shared" ca="1" si="10"/>
        <v>2.8985759209227027</v>
      </c>
      <c r="P60" s="5">
        <f t="shared" ca="1" si="16"/>
        <v>20</v>
      </c>
      <c r="Q60" s="7">
        <f t="shared" ca="1" si="17"/>
        <v>0.12</v>
      </c>
      <c r="R60" s="7">
        <f t="shared" ca="1" si="17"/>
        <v>0.11</v>
      </c>
      <c r="S60" s="7">
        <f t="shared" ca="1" si="17"/>
        <v>0.16</v>
      </c>
      <c r="T60" s="5"/>
      <c r="U60" s="5"/>
      <c r="V60" s="5"/>
    </row>
    <row r="61" spans="1:22">
      <c r="A61" s="7">
        <f t="shared" ca="1" si="0"/>
        <v>13.654005571284866</v>
      </c>
      <c r="B61" s="7">
        <f t="shared" ca="1" si="2"/>
        <v>0.14471289109625579</v>
      </c>
      <c r="C61" s="7">
        <f t="shared" ca="1" si="3"/>
        <v>0.11830336907763628</v>
      </c>
      <c r="D61" s="7">
        <f t="shared" ca="1" si="4"/>
        <v>0.18418089440534663</v>
      </c>
      <c r="E61" s="7">
        <f t="shared" ca="1" si="5"/>
        <v>0.14973242426367656</v>
      </c>
      <c r="F61" s="7">
        <f t="shared" ca="1" si="6"/>
        <v>0.16285232381081127</v>
      </c>
      <c r="G61" s="7">
        <f t="shared" ca="1" si="7"/>
        <v>0.14305151743837929</v>
      </c>
      <c r="H61" s="5">
        <v>55</v>
      </c>
      <c r="I61" s="7">
        <f t="shared" ca="1" si="8"/>
        <v>0.11830336907763628</v>
      </c>
      <c r="J61" s="7">
        <f t="shared" ca="1" si="9"/>
        <v>13.654005571284866</v>
      </c>
      <c r="K61" s="7">
        <f t="shared" ca="1" si="10"/>
        <v>2.0795484273395677</v>
      </c>
      <c r="P61" s="5">
        <f t="shared" ca="1" si="16"/>
        <v>14</v>
      </c>
      <c r="Q61" s="7">
        <f t="shared" ca="1" si="17"/>
        <v>0.14000000000000001</v>
      </c>
      <c r="R61" s="7">
        <f t="shared" ca="1" si="17"/>
        <v>0.12</v>
      </c>
      <c r="S61" s="7">
        <f t="shared" ca="1" si="17"/>
        <v>0.18</v>
      </c>
      <c r="T61" s="5"/>
      <c r="U61" s="5"/>
      <c r="V61" s="5"/>
    </row>
    <row r="62" spans="1:22">
      <c r="A62" s="7">
        <f t="shared" ca="1" si="0"/>
        <v>16.167424353614351</v>
      </c>
      <c r="B62" s="7">
        <f t="shared" ca="1" si="2"/>
        <v>0.1713102563266361</v>
      </c>
      <c r="C62" s="7">
        <f t="shared" ca="1" si="3"/>
        <v>0.11848152580429863</v>
      </c>
      <c r="D62" s="7">
        <f t="shared" ca="1" si="4"/>
        <v>0.17207051082735053</v>
      </c>
      <c r="E62" s="7">
        <f t="shared" ca="1" si="5"/>
        <v>0.12781115722272918</v>
      </c>
      <c r="F62" s="7">
        <f t="shared" ca="1" si="6"/>
        <v>0.15755232877858336</v>
      </c>
      <c r="G62" s="7">
        <f t="shared" ca="1" si="7"/>
        <v>0.14636592708809495</v>
      </c>
      <c r="H62">
        <v>56</v>
      </c>
      <c r="I62" s="7">
        <f t="shared" ca="1" si="8"/>
        <v>0.11848152580429863</v>
      </c>
      <c r="J62" s="7">
        <f t="shared" ca="1" si="9"/>
        <v>16.167424353614351</v>
      </c>
      <c r="K62" s="7">
        <f t="shared" ca="1" si="10"/>
        <v>2.4372880085231485</v>
      </c>
      <c r="P62" s="5">
        <f t="shared" ca="1" si="16"/>
        <v>16</v>
      </c>
      <c r="Q62" s="7">
        <f t="shared" ca="1" si="17"/>
        <v>0.17</v>
      </c>
      <c r="R62" s="7">
        <f t="shared" ca="1" si="17"/>
        <v>0.12</v>
      </c>
      <c r="S62" s="7">
        <f t="shared" ca="1" si="17"/>
        <v>0.17</v>
      </c>
      <c r="T62" s="5"/>
      <c r="U62" s="5"/>
      <c r="V62" s="5"/>
    </row>
    <row r="63" spans="1:22">
      <c r="A63" s="7">
        <f t="shared" ca="1" si="0"/>
        <v>16.43613741031286</v>
      </c>
      <c r="B63" s="7">
        <f t="shared" ca="1" si="2"/>
        <v>0.10972752316049188</v>
      </c>
      <c r="C63" s="7">
        <f t="shared" ca="1" si="3"/>
        <v>0.13663082590311917</v>
      </c>
      <c r="D63" s="7">
        <f t="shared" ca="1" si="4"/>
        <v>0.13860481458335902</v>
      </c>
      <c r="E63" s="7">
        <f t="shared" ca="1" si="5"/>
        <v>0.11993491859283577</v>
      </c>
      <c r="F63" s="7">
        <f t="shared" ca="1" si="6"/>
        <v>0.12433948831643808</v>
      </c>
      <c r="G63" s="7">
        <f t="shared" ca="1" si="7"/>
        <v>0.18482324188821214</v>
      </c>
      <c r="H63" s="5">
        <v>57</v>
      </c>
      <c r="I63" s="7">
        <f t="shared" ca="1" si="8"/>
        <v>0.10972752316049188</v>
      </c>
      <c r="J63" s="7">
        <f t="shared" ca="1" si="9"/>
        <v>16.43613741031286</v>
      </c>
      <c r="K63" s="7">
        <f t="shared" ca="1" si="10"/>
        <v>2.464314031822473</v>
      </c>
      <c r="P63" s="5">
        <f t="shared" ca="1" si="16"/>
        <v>16</v>
      </c>
      <c r="Q63" s="7">
        <f t="shared" ca="1" si="17"/>
        <v>0.11</v>
      </c>
      <c r="R63" s="7">
        <f t="shared" ca="1" si="17"/>
        <v>0.14000000000000001</v>
      </c>
      <c r="S63" s="7">
        <f t="shared" ca="1" si="17"/>
        <v>0.14000000000000001</v>
      </c>
      <c r="T63" s="5"/>
      <c r="U63" s="5"/>
      <c r="V63" s="5"/>
    </row>
    <row r="64" spans="1:22">
      <c r="A64" s="7">
        <f t="shared" ca="1" si="0"/>
        <v>17.905740924835378</v>
      </c>
      <c r="B64" s="7">
        <f t="shared" ca="1" si="2"/>
        <v>0.13139368354967898</v>
      </c>
      <c r="C64" s="7">
        <f t="shared" ca="1" si="3"/>
        <v>0.10592927605336772</v>
      </c>
      <c r="D64" s="7">
        <f t="shared" ca="1" si="4"/>
        <v>0.11604660526379096</v>
      </c>
      <c r="E64" s="7">
        <f t="shared" ca="1" si="5"/>
        <v>0.14977877585208776</v>
      </c>
      <c r="F64" s="7">
        <f t="shared" ca="1" si="6"/>
        <v>0.15993563390023369</v>
      </c>
      <c r="G64" s="7">
        <f t="shared" ca="1" si="7"/>
        <v>0.12362652756412973</v>
      </c>
      <c r="H64">
        <v>58</v>
      </c>
      <c r="I64" s="7">
        <f t="shared" ca="1" si="8"/>
        <v>0.10592927605336772</v>
      </c>
      <c r="J64" s="7">
        <f t="shared" ca="1" si="9"/>
        <v>17.905740924835378</v>
      </c>
      <c r="K64" s="7">
        <f t="shared" ca="1" si="10"/>
        <v>2.670350203859809</v>
      </c>
      <c r="P64" s="5">
        <f t="shared" ca="1" si="16"/>
        <v>18</v>
      </c>
      <c r="Q64" s="7">
        <f t="shared" ca="1" si="17"/>
        <v>0.13</v>
      </c>
      <c r="R64" s="7">
        <f t="shared" ca="1" si="17"/>
        <v>0.11</v>
      </c>
      <c r="S64" s="7">
        <f t="shared" ca="1" si="17"/>
        <v>0.12</v>
      </c>
    </row>
    <row r="65" spans="1:19">
      <c r="A65" s="7">
        <f t="shared" ca="1" si="0"/>
        <v>19.023980887357538</v>
      </c>
      <c r="B65" s="7">
        <f t="shared" ca="1" si="2"/>
        <v>0.14109296637515073</v>
      </c>
      <c r="C65" s="7">
        <f t="shared" ca="1" si="3"/>
        <v>0.10825463714614249</v>
      </c>
      <c r="D65" s="7">
        <f t="shared" ca="1" si="4"/>
        <v>0.13971773995316314</v>
      </c>
      <c r="E65" s="7">
        <f t="shared" ca="1" si="5"/>
        <v>0.10151021671754108</v>
      </c>
      <c r="F65" s="7">
        <f t="shared" ca="1" si="6"/>
        <v>0.13846666815070058</v>
      </c>
      <c r="G65" s="7">
        <f t="shared" ca="1" si="7"/>
        <v>0.18625434327363943</v>
      </c>
      <c r="H65" s="5">
        <v>59</v>
      </c>
      <c r="I65" s="7">
        <f t="shared" ca="1" si="8"/>
        <v>0.10151021671754108</v>
      </c>
      <c r="J65" s="7">
        <f t="shared" ca="1" si="9"/>
        <v>19.023980887357538</v>
      </c>
      <c r="K65" s="7">
        <f t="shared" ca="1" si="10"/>
        <v>2.8341824941391254</v>
      </c>
      <c r="P65" s="5">
        <f t="shared" ca="1" si="16"/>
        <v>19</v>
      </c>
      <c r="Q65" s="7">
        <f t="shared" ca="1" si="17"/>
        <v>0.14000000000000001</v>
      </c>
      <c r="R65" s="7">
        <f t="shared" ca="1" si="17"/>
        <v>0.11</v>
      </c>
      <c r="S65" s="7">
        <f t="shared" ca="1" si="17"/>
        <v>0.14000000000000001</v>
      </c>
    </row>
    <row r="66" spans="1:19">
      <c r="A66" s="7">
        <f t="shared" ca="1" si="0"/>
        <v>14.206990466750831</v>
      </c>
      <c r="B66" s="7">
        <f t="shared" ca="1" si="2"/>
        <v>0.11536688868732023</v>
      </c>
      <c r="C66" s="7">
        <f t="shared" ca="1" si="3"/>
        <v>0.13578462954146051</v>
      </c>
      <c r="D66" s="7">
        <f t="shared" ca="1" si="4"/>
        <v>0.17061405259836271</v>
      </c>
      <c r="E66" s="7">
        <f t="shared" ca="1" si="5"/>
        <v>0.14525299489685947</v>
      </c>
      <c r="F66" s="7">
        <f t="shared" ca="1" si="6"/>
        <v>0.12097457794668966</v>
      </c>
      <c r="G66" s="7">
        <f t="shared" ca="1" si="7"/>
        <v>0.19637273001472388</v>
      </c>
      <c r="H66">
        <v>60</v>
      </c>
      <c r="I66" s="7">
        <f t="shared" ca="1" si="8"/>
        <v>0.11536688868732023</v>
      </c>
      <c r="J66" s="7">
        <f t="shared" ca="1" si="9"/>
        <v>14.206990466750831</v>
      </c>
      <c r="K66" s="7">
        <f t="shared" ca="1" si="10"/>
        <v>2.1559080486337501</v>
      </c>
      <c r="P66" s="5">
        <f t="shared" ca="1" si="16"/>
        <v>14</v>
      </c>
      <c r="Q66" s="7">
        <f t="shared" ca="1" si="17"/>
        <v>0.12</v>
      </c>
      <c r="R66" s="7">
        <f t="shared" ca="1" si="17"/>
        <v>0.14000000000000001</v>
      </c>
      <c r="S66" s="7">
        <f t="shared" ca="1" si="17"/>
        <v>0.17</v>
      </c>
    </row>
    <row r="67" spans="1:19">
      <c r="A67" s="7">
        <f t="shared" ca="1" si="0"/>
        <v>20.249965427703721</v>
      </c>
      <c r="B67" s="7">
        <f t="shared" ca="1" si="2"/>
        <v>0.12098915327291555</v>
      </c>
      <c r="C67" s="7">
        <f t="shared" ca="1" si="3"/>
        <v>0.10843138927201405</v>
      </c>
      <c r="D67" s="7">
        <f t="shared" ca="1" si="4"/>
        <v>0.11003122478910414</v>
      </c>
      <c r="E67" s="7">
        <f t="shared" ca="1" si="5"/>
        <v>0.1327527431409225</v>
      </c>
      <c r="F67" s="7">
        <f t="shared" ca="1" si="6"/>
        <v>0.16091461226461179</v>
      </c>
      <c r="G67" s="7">
        <f t="shared" ca="1" si="7"/>
        <v>0.14367013758781533</v>
      </c>
      <c r="H67" s="5">
        <v>61</v>
      </c>
      <c r="I67" s="7">
        <f t="shared" ca="1" si="8"/>
        <v>0.10843138927201405</v>
      </c>
      <c r="J67" s="7">
        <f t="shared" ca="1" si="9"/>
        <v>20.249965427703721</v>
      </c>
      <c r="K67" s="7">
        <f t="shared" ca="1" si="10"/>
        <v>3.0038220982901578</v>
      </c>
      <c r="P67" s="5">
        <f t="shared" ca="1" si="16"/>
        <v>20</v>
      </c>
      <c r="Q67" s="7">
        <f t="shared" ca="1" si="17"/>
        <v>0.12</v>
      </c>
      <c r="R67" s="7">
        <f t="shared" ca="1" si="17"/>
        <v>0.11</v>
      </c>
      <c r="S67" s="7">
        <f t="shared" ca="1" si="17"/>
        <v>0.11</v>
      </c>
    </row>
    <row r="68" spans="1:19">
      <c r="A68" s="7">
        <f t="shared" ca="1" si="0"/>
        <v>17.057721314528607</v>
      </c>
      <c r="B68" s="7">
        <f t="shared" ca="1" si="2"/>
        <v>0.1078034894108708</v>
      </c>
      <c r="C68" s="7">
        <f t="shared" ca="1" si="3"/>
        <v>0.13265685387744966</v>
      </c>
      <c r="D68" s="7">
        <f t="shared" ca="1" si="4"/>
        <v>0.16680915766233045</v>
      </c>
      <c r="E68" s="7">
        <f t="shared" ca="1" si="5"/>
        <v>0.10906535071435253</v>
      </c>
      <c r="F68" s="7">
        <f t="shared" ca="1" si="6"/>
        <v>0.1375776732250264</v>
      </c>
      <c r="G68" s="7">
        <f t="shared" ca="1" si="7"/>
        <v>0.20118955008376502</v>
      </c>
      <c r="H68">
        <v>62</v>
      </c>
      <c r="I68" s="7">
        <f t="shared" ca="1" si="8"/>
        <v>0.1078034894108708</v>
      </c>
      <c r="J68" s="7">
        <f t="shared" ca="1" si="9"/>
        <v>17.057721314528607</v>
      </c>
      <c r="K68" s="7">
        <f t="shared" ca="1" si="10"/>
        <v>2.5589747699289149</v>
      </c>
      <c r="P68" s="5">
        <f t="shared" ca="1" si="16"/>
        <v>17</v>
      </c>
      <c r="Q68" s="7">
        <f t="shared" ca="1" si="17"/>
        <v>0.11</v>
      </c>
      <c r="R68" s="7">
        <f t="shared" ca="1" si="17"/>
        <v>0.13</v>
      </c>
      <c r="S68" s="7">
        <f t="shared" ca="1" si="17"/>
        <v>0.17</v>
      </c>
    </row>
    <row r="69" spans="1:19">
      <c r="A69" s="7">
        <f t="shared" ca="1" si="0"/>
        <v>12.41231668119052</v>
      </c>
      <c r="B69" s="7">
        <f t="shared" ca="1" si="2"/>
        <v>0.13037872515753698</v>
      </c>
      <c r="C69" s="7">
        <f t="shared" ca="1" si="3"/>
        <v>0.10007464473857779</v>
      </c>
      <c r="D69" s="7">
        <f t="shared" ca="1" si="4"/>
        <v>0.14281195052646828</v>
      </c>
      <c r="E69" s="7">
        <f t="shared" ca="1" si="5"/>
        <v>0.11587203658654723</v>
      </c>
      <c r="F69" s="7">
        <f t="shared" ca="1" si="6"/>
        <v>0.10103835119911801</v>
      </c>
      <c r="G69" s="7">
        <f t="shared" ca="1" si="7"/>
        <v>0.13662847417981114</v>
      </c>
      <c r="H69" s="5">
        <v>63</v>
      </c>
      <c r="I69" s="7">
        <f t="shared" ca="1" si="8"/>
        <v>0.10007464473857779</v>
      </c>
      <c r="J69" s="7">
        <f t="shared" ca="1" si="9"/>
        <v>12.41231668119052</v>
      </c>
      <c r="K69" s="7">
        <f t="shared" ca="1" si="10"/>
        <v>1.8770172662255113</v>
      </c>
      <c r="P69" s="5">
        <f t="shared" ca="1" si="16"/>
        <v>12</v>
      </c>
      <c r="Q69" s="7">
        <f t="shared" ca="1" si="17"/>
        <v>0.13</v>
      </c>
      <c r="R69" s="7">
        <f t="shared" ca="1" si="17"/>
        <v>0.1</v>
      </c>
      <c r="S69" s="7">
        <f t="shared" ca="1" si="17"/>
        <v>0.14000000000000001</v>
      </c>
    </row>
    <row r="70" spans="1:19">
      <c r="A70" s="7">
        <f t="shared" ca="1" si="0"/>
        <v>14.406898424001866</v>
      </c>
      <c r="B70" s="7">
        <f t="shared" ca="1" si="2"/>
        <v>0.17098747203903536</v>
      </c>
      <c r="C70" s="7">
        <f t="shared" ca="1" si="3"/>
        <v>0.12423874531651964</v>
      </c>
      <c r="D70" s="7">
        <f t="shared" ca="1" si="4"/>
        <v>0.18149221329901988</v>
      </c>
      <c r="E70" s="7">
        <f t="shared" ca="1" si="5"/>
        <v>0.11341338595035398</v>
      </c>
      <c r="F70" s="7">
        <f t="shared" ca="1" si="6"/>
        <v>0.14036762727560545</v>
      </c>
      <c r="G70" s="7">
        <f t="shared" ca="1" si="7"/>
        <v>0.19692681124263392</v>
      </c>
      <c r="H70">
        <v>64</v>
      </c>
      <c r="I70" s="7">
        <f t="shared" ca="1" si="8"/>
        <v>0.11341338595035398</v>
      </c>
      <c r="J70" s="7">
        <f t="shared" ca="1" si="9"/>
        <v>14.406898424001866</v>
      </c>
      <c r="K70" s="7">
        <f t="shared" ca="1" si="10"/>
        <v>2.1906178113035764</v>
      </c>
      <c r="P70" s="5">
        <f t="shared" ca="1" si="16"/>
        <v>14</v>
      </c>
      <c r="Q70" s="7">
        <f t="shared" ca="1" si="17"/>
        <v>0.17</v>
      </c>
      <c r="R70" s="7">
        <f t="shared" ca="1" si="17"/>
        <v>0.12</v>
      </c>
      <c r="S70" s="7">
        <f t="shared" ca="1" si="17"/>
        <v>0.18</v>
      </c>
    </row>
    <row r="71" spans="1:19">
      <c r="A71" s="7">
        <f t="shared" ref="A71:A134" ca="1" si="18">RAND()*($A$5-$A$4)+$A$4</f>
        <v>19.776865538336178</v>
      </c>
      <c r="B71" s="7">
        <f t="shared" ca="1" si="2"/>
        <v>0.12500239132747942</v>
      </c>
      <c r="C71" s="7">
        <f t="shared" ca="1" si="3"/>
        <v>0.1173108215310852</v>
      </c>
      <c r="D71" s="7">
        <f t="shared" ca="1" si="4"/>
        <v>0.16113405087831092</v>
      </c>
      <c r="E71" s="7">
        <f t="shared" ca="1" si="5"/>
        <v>0.11578081417864994</v>
      </c>
      <c r="F71" s="7">
        <f t="shared" ca="1" si="6"/>
        <v>0.13026422760110334</v>
      </c>
      <c r="G71" s="7">
        <f t="shared" ca="1" si="7"/>
        <v>0.14088754439777679</v>
      </c>
      <c r="H71" s="5">
        <v>65</v>
      </c>
      <c r="I71" s="7">
        <f t="shared" ca="1" si="8"/>
        <v>0.11578081417864994</v>
      </c>
      <c r="J71" s="7">
        <f t="shared" ca="1" si="9"/>
        <v>19.776865538336178</v>
      </c>
      <c r="K71" s="7">
        <f t="shared" ca="1" si="10"/>
        <v>2.9381779126072263</v>
      </c>
      <c r="P71" s="5">
        <f t="shared" ca="1" si="16"/>
        <v>20</v>
      </c>
      <c r="Q71" s="7">
        <f t="shared" ca="1" si="17"/>
        <v>0.13</v>
      </c>
      <c r="R71" s="7">
        <f t="shared" ca="1" si="17"/>
        <v>0.12</v>
      </c>
      <c r="S71" s="7">
        <f t="shared" ca="1" si="17"/>
        <v>0.16</v>
      </c>
    </row>
    <row r="72" spans="1:19">
      <c r="A72" s="7">
        <f t="shared" ca="1" si="18"/>
        <v>14.871202022938956</v>
      </c>
      <c r="B72" s="7">
        <f t="shared" ref="B72:B135" ca="1" si="19">RAND()*($B$5-$B$4)+$B$4</f>
        <v>0.12078462148951796</v>
      </c>
      <c r="C72" s="7">
        <f t="shared" ref="C72:C135" ca="1" si="20">RAND()*($C$5-$C$4)+$C$4</f>
        <v>0.11612371815640464</v>
      </c>
      <c r="D72" s="7">
        <f t="shared" ref="D72:D135" ca="1" si="21">RAND()*($D$5-$D$4)+$D$4</f>
        <v>0.12382081892011086</v>
      </c>
      <c r="E72" s="7">
        <f t="shared" ref="E72:E135" ca="1" si="22">RAND()*($E$5-$E$4)+$E$4</f>
        <v>0.13969686248410007</v>
      </c>
      <c r="F72" s="7">
        <f t="shared" ref="F72:F135" ca="1" si="23">RAND()*($F$5-$F$4)+$F$4</f>
        <v>0.136249297385174</v>
      </c>
      <c r="G72" s="7">
        <f t="shared" ref="G72:G135" ca="1" si="24">RAND()*($G$5-$G$4)+$G$4</f>
        <v>0.17856684217988861</v>
      </c>
      <c r="H72">
        <v>66</v>
      </c>
      <c r="I72" s="7">
        <f t="shared" ref="I72:I134" ca="1" si="25">MIN(A72:G72)</f>
        <v>0.11612371815640464</v>
      </c>
      <c r="J72" s="7">
        <f t="shared" ref="J72:J134" ca="1" si="26">MAX(A72:G72)</f>
        <v>14.871202022938956</v>
      </c>
      <c r="K72" s="7">
        <f t="shared" ref="K72:K134" ca="1" si="27">AVERAGE(A72:G72)</f>
        <v>2.2409205976505935</v>
      </c>
    </row>
    <row r="73" spans="1:19">
      <c r="A73" s="7">
        <f t="shared" ca="1" si="18"/>
        <v>16.555774957152625</v>
      </c>
      <c r="B73" s="7">
        <f t="shared" ca="1" si="19"/>
        <v>0.13206387028521138</v>
      </c>
      <c r="C73" s="7">
        <f t="shared" ca="1" si="20"/>
        <v>0.13903394327129456</v>
      </c>
      <c r="D73" s="7">
        <f t="shared" ca="1" si="21"/>
        <v>0.15298283552810341</v>
      </c>
      <c r="E73" s="7">
        <f t="shared" ca="1" si="22"/>
        <v>0.10677321893316337</v>
      </c>
      <c r="F73" s="7">
        <f t="shared" ca="1" si="23"/>
        <v>0.15592759273992843</v>
      </c>
      <c r="G73" s="7">
        <f t="shared" ca="1" si="24"/>
        <v>0.1137816783154047</v>
      </c>
      <c r="H73" s="5">
        <v>67</v>
      </c>
      <c r="I73" s="7">
        <f t="shared" ca="1" si="25"/>
        <v>0.10677321893316337</v>
      </c>
      <c r="J73" s="7">
        <f t="shared" ca="1" si="26"/>
        <v>16.555774957152625</v>
      </c>
      <c r="K73" s="7">
        <f t="shared" ca="1" si="27"/>
        <v>2.47947687088939</v>
      </c>
    </row>
    <row r="74" spans="1:19">
      <c r="A74" s="7">
        <f t="shared" ca="1" si="18"/>
        <v>19.775690110900058</v>
      </c>
      <c r="B74" s="7">
        <f t="shared" ca="1" si="19"/>
        <v>0.17172371739912196</v>
      </c>
      <c r="C74" s="7">
        <f t="shared" ca="1" si="20"/>
        <v>0.1003518662228028</v>
      </c>
      <c r="D74" s="7">
        <f t="shared" ca="1" si="21"/>
        <v>0.18812768517135917</v>
      </c>
      <c r="E74" s="7">
        <f t="shared" ca="1" si="22"/>
        <v>0.14240398102172155</v>
      </c>
      <c r="F74" s="7">
        <f t="shared" ca="1" si="23"/>
        <v>0.13203856003316897</v>
      </c>
      <c r="G74" s="7">
        <f t="shared" ca="1" si="24"/>
        <v>0.19510045750964006</v>
      </c>
      <c r="H74">
        <v>68</v>
      </c>
      <c r="I74" s="7">
        <f t="shared" ca="1" si="25"/>
        <v>0.1003518662228028</v>
      </c>
      <c r="J74" s="7">
        <f t="shared" ca="1" si="26"/>
        <v>19.775690110900058</v>
      </c>
      <c r="K74" s="7">
        <f t="shared" ca="1" si="27"/>
        <v>2.9579194826082675</v>
      </c>
    </row>
    <row r="75" spans="1:19">
      <c r="A75" s="7">
        <f t="shared" ca="1" si="18"/>
        <v>18.263448061994062</v>
      </c>
      <c r="B75" s="7">
        <f t="shared" ca="1" si="19"/>
        <v>0.15615148836755141</v>
      </c>
      <c r="C75" s="7">
        <f t="shared" ca="1" si="20"/>
        <v>0.11379082005469177</v>
      </c>
      <c r="D75" s="7">
        <f t="shared" ca="1" si="21"/>
        <v>0.10196840340165969</v>
      </c>
      <c r="E75" s="7">
        <f t="shared" ca="1" si="22"/>
        <v>0.14715845232313918</v>
      </c>
      <c r="F75" s="7">
        <f t="shared" ca="1" si="23"/>
        <v>0.11577000049312602</v>
      </c>
      <c r="G75" s="7">
        <f t="shared" ca="1" si="24"/>
        <v>0.12034375846289047</v>
      </c>
      <c r="H75" s="5">
        <v>69</v>
      </c>
      <c r="I75" s="7">
        <f t="shared" ca="1" si="25"/>
        <v>0.10196840340165969</v>
      </c>
      <c r="J75" s="7">
        <f t="shared" ca="1" si="26"/>
        <v>18.263448061994062</v>
      </c>
      <c r="K75" s="7">
        <f t="shared" ca="1" si="27"/>
        <v>2.716947283585303</v>
      </c>
    </row>
    <row r="76" spans="1:19">
      <c r="A76" s="7">
        <f t="shared" ca="1" si="18"/>
        <v>12.009202735674254</v>
      </c>
      <c r="B76" s="7">
        <f t="shared" ca="1" si="19"/>
        <v>0.12161395970607888</v>
      </c>
      <c r="C76" s="7">
        <f t="shared" ca="1" si="20"/>
        <v>0.11315392266940452</v>
      </c>
      <c r="D76" s="7">
        <f t="shared" ca="1" si="21"/>
        <v>0.14598083463589367</v>
      </c>
      <c r="E76" s="7">
        <f t="shared" ca="1" si="22"/>
        <v>0.10179523140047816</v>
      </c>
      <c r="F76" s="7">
        <f t="shared" ca="1" si="23"/>
        <v>0.10529751291511703</v>
      </c>
      <c r="G76" s="7">
        <f t="shared" ca="1" si="24"/>
        <v>0.17797362243706352</v>
      </c>
      <c r="H76">
        <v>70</v>
      </c>
      <c r="I76" s="7">
        <f t="shared" ca="1" si="25"/>
        <v>0.10179523140047816</v>
      </c>
      <c r="J76" s="7">
        <f t="shared" ca="1" si="26"/>
        <v>12.009202735674254</v>
      </c>
      <c r="K76" s="7">
        <f t="shared" ca="1" si="27"/>
        <v>1.8250025456340413</v>
      </c>
    </row>
    <row r="77" spans="1:19">
      <c r="A77" s="7">
        <f t="shared" ca="1" si="18"/>
        <v>19.217840694915651</v>
      </c>
      <c r="B77" s="7">
        <f t="shared" ca="1" si="19"/>
        <v>0.13717042814599151</v>
      </c>
      <c r="C77" s="7">
        <f t="shared" ca="1" si="20"/>
        <v>0.11875774946044693</v>
      </c>
      <c r="D77" s="7">
        <f t="shared" ca="1" si="21"/>
        <v>0.10486564623190522</v>
      </c>
      <c r="E77" s="7">
        <f t="shared" ca="1" si="22"/>
        <v>0.10694453430290055</v>
      </c>
      <c r="F77" s="7">
        <f t="shared" ca="1" si="23"/>
        <v>0.11655125312216136</v>
      </c>
      <c r="G77" s="7">
        <f t="shared" ca="1" si="24"/>
        <v>0.10871732648719638</v>
      </c>
      <c r="H77" s="5">
        <v>71</v>
      </c>
      <c r="I77" s="7">
        <f t="shared" ca="1" si="25"/>
        <v>0.10486564623190522</v>
      </c>
      <c r="J77" s="7">
        <f t="shared" ca="1" si="26"/>
        <v>19.217840694915651</v>
      </c>
      <c r="K77" s="7">
        <f t="shared" ca="1" si="27"/>
        <v>2.8444068046666073</v>
      </c>
    </row>
    <row r="78" spans="1:19">
      <c r="A78" s="7">
        <f t="shared" ca="1" si="18"/>
        <v>14.791583971814173</v>
      </c>
      <c r="B78" s="7">
        <f t="shared" ca="1" si="19"/>
        <v>0.17336308387266117</v>
      </c>
      <c r="C78" s="7">
        <f t="shared" ca="1" si="20"/>
        <v>0.11365957546813865</v>
      </c>
      <c r="D78" s="7">
        <f t="shared" ca="1" si="21"/>
        <v>0.16859599881744997</v>
      </c>
      <c r="E78" s="7">
        <f t="shared" ca="1" si="22"/>
        <v>0.13453363996773454</v>
      </c>
      <c r="F78" s="7">
        <f t="shared" ca="1" si="23"/>
        <v>0.15687052491624021</v>
      </c>
      <c r="G78" s="7">
        <f t="shared" ca="1" si="24"/>
        <v>0.12563551506092227</v>
      </c>
      <c r="H78">
        <v>72</v>
      </c>
      <c r="I78" s="7">
        <f t="shared" ca="1" si="25"/>
        <v>0.11365957546813865</v>
      </c>
      <c r="J78" s="7">
        <f t="shared" ca="1" si="26"/>
        <v>14.791583971814173</v>
      </c>
      <c r="K78" s="7">
        <f t="shared" ca="1" si="27"/>
        <v>2.2377489014167602</v>
      </c>
    </row>
    <row r="79" spans="1:19">
      <c r="A79" s="7">
        <f t="shared" ca="1" si="18"/>
        <v>15.785534327087877</v>
      </c>
      <c r="B79" s="7">
        <f t="shared" ca="1" si="19"/>
        <v>0.12078112733532209</v>
      </c>
      <c r="C79" s="7">
        <f t="shared" ca="1" si="20"/>
        <v>0.12992694054973514</v>
      </c>
      <c r="D79" s="7">
        <f t="shared" ca="1" si="21"/>
        <v>0.17741370166189963</v>
      </c>
      <c r="E79" s="7">
        <f t="shared" ca="1" si="22"/>
        <v>0.14351144478806313</v>
      </c>
      <c r="F79" s="7">
        <f t="shared" ca="1" si="23"/>
        <v>0.15200619324973613</v>
      </c>
      <c r="G79" s="7">
        <f t="shared" ca="1" si="24"/>
        <v>0.16821967397205079</v>
      </c>
      <c r="H79" s="5">
        <v>73</v>
      </c>
      <c r="I79" s="7">
        <f t="shared" ca="1" si="25"/>
        <v>0.12078112733532209</v>
      </c>
      <c r="J79" s="7">
        <f t="shared" ca="1" si="26"/>
        <v>15.785534327087877</v>
      </c>
      <c r="K79" s="7">
        <f t="shared" ca="1" si="27"/>
        <v>2.3824847726635263</v>
      </c>
    </row>
    <row r="80" spans="1:19">
      <c r="A80" s="7">
        <f t="shared" ca="1" si="18"/>
        <v>14.447940932003629</v>
      </c>
      <c r="B80" s="7">
        <f t="shared" ca="1" si="19"/>
        <v>0.13529627043440928</v>
      </c>
      <c r="C80" s="7">
        <f t="shared" ca="1" si="20"/>
        <v>0.11546802109950877</v>
      </c>
      <c r="D80" s="7">
        <f t="shared" ca="1" si="21"/>
        <v>0.16717154788217248</v>
      </c>
      <c r="E80" s="7">
        <f t="shared" ca="1" si="22"/>
        <v>0.14968164365854611</v>
      </c>
      <c r="F80" s="7">
        <f t="shared" ca="1" si="23"/>
        <v>0.11955337239415287</v>
      </c>
      <c r="G80" s="7">
        <f t="shared" ca="1" si="24"/>
        <v>0.16055571008172403</v>
      </c>
      <c r="H80">
        <v>74</v>
      </c>
      <c r="I80" s="7">
        <f t="shared" ca="1" si="25"/>
        <v>0.11546802109950877</v>
      </c>
      <c r="J80" s="7">
        <f t="shared" ca="1" si="26"/>
        <v>14.447940932003629</v>
      </c>
      <c r="K80" s="7">
        <f t="shared" ca="1" si="27"/>
        <v>2.185095356793449</v>
      </c>
    </row>
    <row r="81" spans="1:11">
      <c r="A81" s="7">
        <f t="shared" ca="1" si="18"/>
        <v>12.488876429003202</v>
      </c>
      <c r="B81" s="7">
        <f t="shared" ca="1" si="19"/>
        <v>0.15444359708829541</v>
      </c>
      <c r="C81" s="7">
        <f t="shared" ca="1" si="20"/>
        <v>0.1259882812712427</v>
      </c>
      <c r="D81" s="7">
        <f t="shared" ca="1" si="21"/>
        <v>0.10221988190384737</v>
      </c>
      <c r="E81" s="7">
        <f t="shared" ca="1" si="22"/>
        <v>0.11358567803545054</v>
      </c>
      <c r="F81" s="7">
        <f t="shared" ca="1" si="23"/>
        <v>0.14041382964544893</v>
      </c>
      <c r="G81" s="7">
        <f t="shared" ca="1" si="24"/>
        <v>0.16659270244798743</v>
      </c>
      <c r="H81" s="5">
        <v>75</v>
      </c>
      <c r="I81" s="7">
        <f t="shared" ca="1" si="25"/>
        <v>0.10221988190384737</v>
      </c>
      <c r="J81" s="7">
        <f t="shared" ca="1" si="26"/>
        <v>12.488876429003202</v>
      </c>
      <c r="K81" s="7">
        <f t="shared" ca="1" si="27"/>
        <v>1.8988743427707822</v>
      </c>
    </row>
    <row r="82" spans="1:11">
      <c r="A82" s="7">
        <f t="shared" ca="1" si="18"/>
        <v>19.958432980100628</v>
      </c>
      <c r="B82" s="7">
        <f t="shared" ca="1" si="19"/>
        <v>0.15626122423548053</v>
      </c>
      <c r="C82" s="7">
        <f t="shared" ca="1" si="20"/>
        <v>0.10523627617213857</v>
      </c>
      <c r="D82" s="7">
        <f t="shared" ca="1" si="21"/>
        <v>0.11350238226831683</v>
      </c>
      <c r="E82" s="7">
        <f t="shared" ca="1" si="22"/>
        <v>0.12821229635703327</v>
      </c>
      <c r="F82" s="7">
        <f t="shared" ca="1" si="23"/>
        <v>0.13906289496773921</v>
      </c>
      <c r="G82" s="7">
        <f t="shared" ca="1" si="24"/>
        <v>0.11475162624064941</v>
      </c>
      <c r="H82">
        <v>76</v>
      </c>
      <c r="I82" s="7">
        <f t="shared" ca="1" si="25"/>
        <v>0.10523627617213857</v>
      </c>
      <c r="J82" s="7">
        <f t="shared" ca="1" si="26"/>
        <v>19.958432980100628</v>
      </c>
      <c r="K82" s="7">
        <f t="shared" ca="1" si="27"/>
        <v>2.9593513829059979</v>
      </c>
    </row>
    <row r="83" spans="1:11">
      <c r="A83" s="7">
        <f t="shared" ca="1" si="18"/>
        <v>14.477790987056787</v>
      </c>
      <c r="B83" s="7">
        <f t="shared" ca="1" si="19"/>
        <v>0.15884911567127424</v>
      </c>
      <c r="C83" s="7">
        <f t="shared" ca="1" si="20"/>
        <v>0.11005677316333329</v>
      </c>
      <c r="D83" s="7">
        <f t="shared" ca="1" si="21"/>
        <v>0.1153194308128646</v>
      </c>
      <c r="E83" s="7">
        <f t="shared" ca="1" si="22"/>
        <v>0.11864949354975238</v>
      </c>
      <c r="F83" s="7">
        <f t="shared" ca="1" si="23"/>
        <v>0.13175587448054199</v>
      </c>
      <c r="G83" s="7">
        <f t="shared" ca="1" si="24"/>
        <v>0.14195026877609301</v>
      </c>
      <c r="H83" s="5">
        <v>77</v>
      </c>
      <c r="I83" s="7">
        <f t="shared" ca="1" si="25"/>
        <v>0.11005677316333329</v>
      </c>
      <c r="J83" s="7">
        <f t="shared" ca="1" si="26"/>
        <v>14.477790987056787</v>
      </c>
      <c r="K83" s="7">
        <f t="shared" ca="1" si="27"/>
        <v>2.1791959919300918</v>
      </c>
    </row>
    <row r="84" spans="1:11">
      <c r="A84" s="7">
        <f t="shared" ca="1" si="18"/>
        <v>13.064186699018919</v>
      </c>
      <c r="B84" s="7">
        <f t="shared" ca="1" si="19"/>
        <v>0.14361576160835887</v>
      </c>
      <c r="C84" s="7">
        <f t="shared" ca="1" si="20"/>
        <v>0.13626884832263836</v>
      </c>
      <c r="D84" s="7">
        <f t="shared" ca="1" si="21"/>
        <v>0.15360759516094502</v>
      </c>
      <c r="E84" s="7">
        <f t="shared" ca="1" si="22"/>
        <v>0.11791988024097222</v>
      </c>
      <c r="F84" s="7">
        <f t="shared" ca="1" si="23"/>
        <v>0.1148360134991555</v>
      </c>
      <c r="G84" s="7">
        <f t="shared" ca="1" si="24"/>
        <v>0.1439743969897328</v>
      </c>
      <c r="H84">
        <v>78</v>
      </c>
      <c r="I84" s="7">
        <f t="shared" ca="1" si="25"/>
        <v>0.1148360134991555</v>
      </c>
      <c r="J84" s="7">
        <f t="shared" ca="1" si="26"/>
        <v>13.064186699018919</v>
      </c>
      <c r="K84" s="7">
        <f t="shared" ca="1" si="27"/>
        <v>1.9820584564058177</v>
      </c>
    </row>
    <row r="85" spans="1:11">
      <c r="A85" s="7">
        <f t="shared" ca="1" si="18"/>
        <v>13.934366956156092</v>
      </c>
      <c r="B85" s="7">
        <f t="shared" ca="1" si="19"/>
        <v>0.10711492885587529</v>
      </c>
      <c r="C85" s="7">
        <f t="shared" ca="1" si="20"/>
        <v>0.11552055910826936</v>
      </c>
      <c r="D85" s="7">
        <f t="shared" ca="1" si="21"/>
        <v>0.11605434771957149</v>
      </c>
      <c r="E85" s="7">
        <f t="shared" ca="1" si="22"/>
        <v>0.13601568705344719</v>
      </c>
      <c r="F85" s="7">
        <f t="shared" ca="1" si="23"/>
        <v>0.16710580284708224</v>
      </c>
      <c r="G85" s="7">
        <f t="shared" ca="1" si="24"/>
        <v>0.12154522778303938</v>
      </c>
      <c r="H85" s="5">
        <v>79</v>
      </c>
      <c r="I85" s="7">
        <f t="shared" ca="1" si="25"/>
        <v>0.10711492885587529</v>
      </c>
      <c r="J85" s="7">
        <f t="shared" ca="1" si="26"/>
        <v>13.934366956156092</v>
      </c>
      <c r="K85" s="7">
        <f t="shared" ca="1" si="27"/>
        <v>2.0996747870747683</v>
      </c>
    </row>
    <row r="86" spans="1:11">
      <c r="A86" s="7">
        <f t="shared" ca="1" si="18"/>
        <v>14.065714817092633</v>
      </c>
      <c r="B86" s="7">
        <f t="shared" ca="1" si="19"/>
        <v>0.16762554103439736</v>
      </c>
      <c r="C86" s="7">
        <f t="shared" ca="1" si="20"/>
        <v>0.10909979862400626</v>
      </c>
      <c r="D86" s="7">
        <f t="shared" ca="1" si="21"/>
        <v>0.1878091950900202</v>
      </c>
      <c r="E86" s="7">
        <f t="shared" ca="1" si="22"/>
        <v>0.11700016269903241</v>
      </c>
      <c r="F86" s="7">
        <f t="shared" ca="1" si="23"/>
        <v>0.14616382780183651</v>
      </c>
      <c r="G86" s="7">
        <f t="shared" ca="1" si="24"/>
        <v>0.18561483416332802</v>
      </c>
      <c r="H86">
        <v>80</v>
      </c>
      <c r="I86" s="7">
        <f t="shared" ca="1" si="25"/>
        <v>0.10909979862400626</v>
      </c>
      <c r="J86" s="7">
        <f t="shared" ca="1" si="26"/>
        <v>14.065714817092633</v>
      </c>
      <c r="K86" s="7">
        <f t="shared" ca="1" si="27"/>
        <v>2.1398611680721791</v>
      </c>
    </row>
    <row r="87" spans="1:11">
      <c r="A87" s="7">
        <f t="shared" ca="1" si="18"/>
        <v>18.915295473524957</v>
      </c>
      <c r="B87" s="7">
        <f t="shared" ca="1" si="19"/>
        <v>0.13367833566630577</v>
      </c>
      <c r="C87" s="7">
        <f t="shared" ca="1" si="20"/>
        <v>0.13224982287777215</v>
      </c>
      <c r="D87" s="7">
        <f t="shared" ca="1" si="21"/>
        <v>0.18828749998885938</v>
      </c>
      <c r="E87" s="7">
        <f t="shared" ca="1" si="22"/>
        <v>0.10853917583424626</v>
      </c>
      <c r="F87" s="7">
        <f t="shared" ca="1" si="23"/>
        <v>0.14777350888125035</v>
      </c>
      <c r="G87" s="7">
        <f t="shared" ca="1" si="24"/>
        <v>0.18846801610703662</v>
      </c>
      <c r="H87" s="5">
        <v>81</v>
      </c>
      <c r="I87" s="7">
        <f t="shared" ca="1" si="25"/>
        <v>0.10853917583424626</v>
      </c>
      <c r="J87" s="7">
        <f t="shared" ca="1" si="26"/>
        <v>18.915295473524957</v>
      </c>
      <c r="K87" s="7">
        <f t="shared" ca="1" si="27"/>
        <v>2.8306131189829182</v>
      </c>
    </row>
    <row r="88" spans="1:11">
      <c r="A88" s="7">
        <f t="shared" ca="1" si="18"/>
        <v>13.337722536653292</v>
      </c>
      <c r="B88" s="7">
        <f t="shared" ca="1" si="19"/>
        <v>0.10693981209730864</v>
      </c>
      <c r="C88" s="7">
        <f t="shared" ca="1" si="20"/>
        <v>0.11428101419230895</v>
      </c>
      <c r="D88" s="7">
        <f t="shared" ca="1" si="21"/>
        <v>0.1544718519782102</v>
      </c>
      <c r="E88" s="7">
        <f t="shared" ca="1" si="22"/>
        <v>0.11331085937042802</v>
      </c>
      <c r="F88" s="7">
        <f t="shared" ca="1" si="23"/>
        <v>0.15724621515262399</v>
      </c>
      <c r="G88" s="7">
        <f t="shared" ca="1" si="24"/>
        <v>0.12902546308074503</v>
      </c>
      <c r="H88">
        <v>82</v>
      </c>
      <c r="I88" s="7">
        <f t="shared" ca="1" si="25"/>
        <v>0.10693981209730864</v>
      </c>
      <c r="J88" s="7">
        <f t="shared" ca="1" si="26"/>
        <v>13.337722536653292</v>
      </c>
      <c r="K88" s="7">
        <f t="shared" ca="1" si="27"/>
        <v>2.0161425360749883</v>
      </c>
    </row>
    <row r="89" spans="1:11">
      <c r="A89" s="7">
        <f t="shared" ca="1" si="18"/>
        <v>13.736772542145394</v>
      </c>
      <c r="B89" s="7">
        <f t="shared" ca="1" si="19"/>
        <v>0.13228333351005939</v>
      </c>
      <c r="C89" s="7">
        <f t="shared" ca="1" si="20"/>
        <v>0.11022556910496149</v>
      </c>
      <c r="D89" s="7">
        <f t="shared" ca="1" si="21"/>
        <v>0.13309056538518158</v>
      </c>
      <c r="E89" s="7">
        <f t="shared" ca="1" si="22"/>
        <v>0.11077443884678916</v>
      </c>
      <c r="F89" s="7">
        <f t="shared" ca="1" si="23"/>
        <v>0.11012210800097463</v>
      </c>
      <c r="G89" s="7">
        <f t="shared" ca="1" si="24"/>
        <v>0.14647791897126228</v>
      </c>
      <c r="H89" s="5">
        <v>83</v>
      </c>
      <c r="I89" s="7">
        <f t="shared" ca="1" si="25"/>
        <v>0.11012210800097463</v>
      </c>
      <c r="J89" s="7">
        <f t="shared" ca="1" si="26"/>
        <v>13.736772542145394</v>
      </c>
      <c r="K89" s="7">
        <f t="shared" ca="1" si="27"/>
        <v>2.0685352108520889</v>
      </c>
    </row>
    <row r="90" spans="1:11">
      <c r="A90" s="7">
        <f t="shared" ca="1" si="18"/>
        <v>20.656573005549859</v>
      </c>
      <c r="B90" s="7">
        <f t="shared" ca="1" si="19"/>
        <v>0.10682131823704645</v>
      </c>
      <c r="C90" s="7">
        <f t="shared" ca="1" si="20"/>
        <v>0.12311308505576254</v>
      </c>
      <c r="D90" s="7">
        <f t="shared" ca="1" si="21"/>
        <v>0.100853207098523</v>
      </c>
      <c r="E90" s="7">
        <f t="shared" ca="1" si="22"/>
        <v>0.1432633820206464</v>
      </c>
      <c r="F90" s="7">
        <f t="shared" ca="1" si="23"/>
        <v>0.13028372521092946</v>
      </c>
      <c r="G90" s="7">
        <f t="shared" ca="1" si="24"/>
        <v>0.19951814522425104</v>
      </c>
      <c r="H90">
        <v>84</v>
      </c>
      <c r="I90" s="7">
        <f t="shared" ca="1" si="25"/>
        <v>0.100853207098523</v>
      </c>
      <c r="J90" s="7">
        <f t="shared" ca="1" si="26"/>
        <v>20.656573005549859</v>
      </c>
      <c r="K90" s="7">
        <f t="shared" ca="1" si="27"/>
        <v>3.0657751240567168</v>
      </c>
    </row>
    <row r="91" spans="1:11">
      <c r="A91" s="7">
        <f t="shared" ca="1" si="18"/>
        <v>13.815334473526621</v>
      </c>
      <c r="B91" s="7">
        <f t="shared" ca="1" si="19"/>
        <v>0.16625565381231294</v>
      </c>
      <c r="C91" s="7">
        <f t="shared" ca="1" si="20"/>
        <v>0.11616286024239879</v>
      </c>
      <c r="D91" s="7">
        <f t="shared" ca="1" si="21"/>
        <v>0.14422141719806081</v>
      </c>
      <c r="E91" s="7">
        <f t="shared" ca="1" si="22"/>
        <v>0.10914854188855494</v>
      </c>
      <c r="F91" s="7">
        <f t="shared" ca="1" si="23"/>
        <v>0.1156791953315983</v>
      </c>
      <c r="G91" s="7">
        <f t="shared" ca="1" si="24"/>
        <v>0.16447872203008157</v>
      </c>
      <c r="H91" s="5">
        <v>85</v>
      </c>
      <c r="I91" s="7">
        <f t="shared" ca="1" si="25"/>
        <v>0.10914854188855494</v>
      </c>
      <c r="J91" s="7">
        <f t="shared" ca="1" si="26"/>
        <v>13.815334473526621</v>
      </c>
      <c r="K91" s="7">
        <f t="shared" ca="1" si="27"/>
        <v>2.0901829805756611</v>
      </c>
    </row>
    <row r="92" spans="1:11">
      <c r="A92" s="7">
        <f t="shared" ca="1" si="18"/>
        <v>12.746130561682033</v>
      </c>
      <c r="B92" s="7">
        <f t="shared" ca="1" si="19"/>
        <v>0.12783939476819434</v>
      </c>
      <c r="C92" s="7">
        <f t="shared" ca="1" si="20"/>
        <v>0.12613521418679197</v>
      </c>
      <c r="D92" s="7">
        <f t="shared" ca="1" si="21"/>
        <v>0.18545965169971662</v>
      </c>
      <c r="E92" s="7">
        <f t="shared" ca="1" si="22"/>
        <v>0.13859178550828616</v>
      </c>
      <c r="F92" s="7">
        <f t="shared" ca="1" si="23"/>
        <v>0.12369425901119147</v>
      </c>
      <c r="G92" s="7">
        <f t="shared" ca="1" si="24"/>
        <v>0.18759309083446687</v>
      </c>
      <c r="H92">
        <v>86</v>
      </c>
      <c r="I92" s="7">
        <f t="shared" ca="1" si="25"/>
        <v>0.12369425901119147</v>
      </c>
      <c r="J92" s="7">
        <f t="shared" ca="1" si="26"/>
        <v>12.746130561682033</v>
      </c>
      <c r="K92" s="7">
        <f t="shared" ca="1" si="27"/>
        <v>1.947920565384383</v>
      </c>
    </row>
    <row r="93" spans="1:11">
      <c r="A93" s="7">
        <f t="shared" ca="1" si="18"/>
        <v>17.300521450553582</v>
      </c>
      <c r="B93" s="7">
        <f t="shared" ca="1" si="19"/>
        <v>0.17723300459646507</v>
      </c>
      <c r="C93" s="7">
        <f t="shared" ca="1" si="20"/>
        <v>0.11181069632606115</v>
      </c>
      <c r="D93" s="7">
        <f t="shared" ca="1" si="21"/>
        <v>0.17137244118815784</v>
      </c>
      <c r="E93" s="7">
        <f t="shared" ca="1" si="22"/>
        <v>0.1174979658202884</v>
      </c>
      <c r="F93" s="7">
        <f t="shared" ca="1" si="23"/>
        <v>0.12575673610678795</v>
      </c>
      <c r="G93" s="7">
        <f t="shared" ca="1" si="24"/>
        <v>0.11141381037536215</v>
      </c>
      <c r="H93" s="5">
        <v>87</v>
      </c>
      <c r="I93" s="7">
        <f t="shared" ca="1" si="25"/>
        <v>0.11141381037536215</v>
      </c>
      <c r="J93" s="7">
        <f t="shared" ca="1" si="26"/>
        <v>17.300521450553582</v>
      </c>
      <c r="K93" s="7">
        <f t="shared" ca="1" si="27"/>
        <v>2.5879437292809579</v>
      </c>
    </row>
    <row r="94" spans="1:11">
      <c r="A94" s="7">
        <f t="shared" ca="1" si="18"/>
        <v>20.919954233488543</v>
      </c>
      <c r="B94" s="7">
        <f t="shared" ca="1" si="19"/>
        <v>0.14934153829438446</v>
      </c>
      <c r="C94" s="7">
        <f t="shared" ca="1" si="20"/>
        <v>0.13546280100995325</v>
      </c>
      <c r="D94" s="7">
        <f t="shared" ca="1" si="21"/>
        <v>0.17936415990608834</v>
      </c>
      <c r="E94" s="7">
        <f t="shared" ca="1" si="22"/>
        <v>0.10889904900166969</v>
      </c>
      <c r="F94" s="7">
        <f t="shared" ca="1" si="23"/>
        <v>0.16219762662996323</v>
      </c>
      <c r="G94" s="7">
        <f t="shared" ca="1" si="24"/>
        <v>0.15758649421895124</v>
      </c>
      <c r="H94">
        <v>88</v>
      </c>
      <c r="I94" s="7">
        <f t="shared" ca="1" si="25"/>
        <v>0.10889904900166969</v>
      </c>
      <c r="J94" s="7">
        <f t="shared" ca="1" si="26"/>
        <v>20.919954233488543</v>
      </c>
      <c r="K94" s="7">
        <f t="shared" ca="1" si="27"/>
        <v>3.1161151289356508</v>
      </c>
    </row>
    <row r="95" spans="1:11">
      <c r="A95" s="7">
        <f t="shared" ca="1" si="18"/>
        <v>12.3272512832113</v>
      </c>
      <c r="B95" s="7">
        <f t="shared" ca="1" si="19"/>
        <v>0.15418125820402331</v>
      </c>
      <c r="C95" s="7">
        <f t="shared" ca="1" si="20"/>
        <v>0.12140352466802741</v>
      </c>
      <c r="D95" s="7">
        <f t="shared" ca="1" si="21"/>
        <v>0.13388510689235011</v>
      </c>
      <c r="E95" s="7">
        <f t="shared" ca="1" si="22"/>
        <v>0.14137782031624807</v>
      </c>
      <c r="F95" s="7">
        <f t="shared" ca="1" si="23"/>
        <v>0.14714194585673063</v>
      </c>
      <c r="G95" s="7">
        <f t="shared" ca="1" si="24"/>
        <v>0.14696664558906619</v>
      </c>
      <c r="H95" s="5">
        <v>89</v>
      </c>
      <c r="I95" s="7">
        <f t="shared" ca="1" si="25"/>
        <v>0.12140352466802741</v>
      </c>
      <c r="J95" s="7">
        <f t="shared" ca="1" si="26"/>
        <v>12.3272512832113</v>
      </c>
      <c r="K95" s="7">
        <f t="shared" ca="1" si="27"/>
        <v>1.8817439406768206</v>
      </c>
    </row>
    <row r="96" spans="1:11">
      <c r="A96" s="7">
        <f t="shared" ca="1" si="18"/>
        <v>20.769617737263232</v>
      </c>
      <c r="B96" s="7">
        <f t="shared" ca="1" si="19"/>
        <v>0.12691800809769904</v>
      </c>
      <c r="C96" s="7">
        <f t="shared" ca="1" si="20"/>
        <v>0.11939762519158997</v>
      </c>
      <c r="D96" s="7">
        <f t="shared" ca="1" si="21"/>
        <v>0.10509801099803893</v>
      </c>
      <c r="E96" s="7">
        <f t="shared" ca="1" si="22"/>
        <v>0.12751719542511886</v>
      </c>
      <c r="F96" s="7">
        <f t="shared" ca="1" si="23"/>
        <v>0.13374358469434722</v>
      </c>
      <c r="G96" s="7">
        <f t="shared" ca="1" si="24"/>
        <v>0.13315097519139493</v>
      </c>
      <c r="H96">
        <v>90</v>
      </c>
      <c r="I96" s="7">
        <f t="shared" ca="1" si="25"/>
        <v>0.10509801099803893</v>
      </c>
      <c r="J96" s="7">
        <f t="shared" ca="1" si="26"/>
        <v>20.769617737263232</v>
      </c>
      <c r="K96" s="7">
        <f t="shared" ca="1" si="27"/>
        <v>3.0736347338373458</v>
      </c>
    </row>
    <row r="97" spans="1:11">
      <c r="A97" s="7">
        <f t="shared" ca="1" si="18"/>
        <v>14.078791294990726</v>
      </c>
      <c r="B97" s="7">
        <f t="shared" ca="1" si="19"/>
        <v>0.14459659927383106</v>
      </c>
      <c r="C97" s="7">
        <f t="shared" ca="1" si="20"/>
        <v>0.11936608961644919</v>
      </c>
      <c r="D97" s="7">
        <f t="shared" ca="1" si="21"/>
        <v>0.10044949625168798</v>
      </c>
      <c r="E97" s="7">
        <f t="shared" ca="1" si="22"/>
        <v>0.12075518370934188</v>
      </c>
      <c r="F97" s="7">
        <f t="shared" ca="1" si="23"/>
        <v>0.13956669869076188</v>
      </c>
      <c r="G97" s="7">
        <f t="shared" ca="1" si="24"/>
        <v>0.12170851334946789</v>
      </c>
      <c r="H97" s="5">
        <v>91</v>
      </c>
      <c r="I97" s="7">
        <f t="shared" ca="1" si="25"/>
        <v>0.10044949625168798</v>
      </c>
      <c r="J97" s="7">
        <f t="shared" ca="1" si="26"/>
        <v>14.078791294990726</v>
      </c>
      <c r="K97" s="7">
        <f t="shared" ca="1" si="27"/>
        <v>2.1178905536974666</v>
      </c>
    </row>
    <row r="98" spans="1:11">
      <c r="A98" s="7">
        <f t="shared" ca="1" si="18"/>
        <v>17.409102994834779</v>
      </c>
      <c r="B98" s="7">
        <f t="shared" ca="1" si="19"/>
        <v>0.13084086027659711</v>
      </c>
      <c r="C98" s="7">
        <f t="shared" ca="1" si="20"/>
        <v>0.12729528420579683</v>
      </c>
      <c r="D98" s="7">
        <f t="shared" ca="1" si="21"/>
        <v>0.14682962146415215</v>
      </c>
      <c r="E98" s="7">
        <f t="shared" ca="1" si="22"/>
        <v>0.13370500991665307</v>
      </c>
      <c r="F98" s="7">
        <f t="shared" ca="1" si="23"/>
        <v>0.1461858588411695</v>
      </c>
      <c r="G98" s="7">
        <f t="shared" ca="1" si="24"/>
        <v>0.11807974953175986</v>
      </c>
      <c r="H98">
        <v>92</v>
      </c>
      <c r="I98" s="7">
        <f t="shared" ca="1" si="25"/>
        <v>0.11807974953175986</v>
      </c>
      <c r="J98" s="7">
        <f t="shared" ca="1" si="26"/>
        <v>17.409102994834779</v>
      </c>
      <c r="K98" s="7">
        <f t="shared" ca="1" si="27"/>
        <v>2.6017199112958438</v>
      </c>
    </row>
    <row r="99" spans="1:11">
      <c r="A99" s="7">
        <f t="shared" ca="1" si="18"/>
        <v>12.648954768535269</v>
      </c>
      <c r="B99" s="7">
        <f t="shared" ca="1" si="19"/>
        <v>0.10591458446413629</v>
      </c>
      <c r="C99" s="7">
        <f t="shared" ca="1" si="20"/>
        <v>0.12895471822610446</v>
      </c>
      <c r="D99" s="7">
        <f t="shared" ca="1" si="21"/>
        <v>0.15306990359581471</v>
      </c>
      <c r="E99" s="7">
        <f t="shared" ca="1" si="22"/>
        <v>0.1330363052737227</v>
      </c>
      <c r="F99" s="7">
        <f t="shared" ca="1" si="23"/>
        <v>0.15639473612743116</v>
      </c>
      <c r="G99" s="7">
        <f t="shared" ca="1" si="24"/>
        <v>0.18007847081907874</v>
      </c>
      <c r="H99" s="5">
        <v>93</v>
      </c>
      <c r="I99" s="7">
        <f t="shared" ca="1" si="25"/>
        <v>0.10591458446413629</v>
      </c>
      <c r="J99" s="7">
        <f t="shared" ca="1" si="26"/>
        <v>12.648954768535269</v>
      </c>
      <c r="K99" s="7">
        <f t="shared" ca="1" si="27"/>
        <v>1.9294862124345082</v>
      </c>
    </row>
    <row r="100" spans="1:11">
      <c r="A100" s="7">
        <f t="shared" ca="1" si="18"/>
        <v>15.00087044994206</v>
      </c>
      <c r="B100" s="7">
        <f t="shared" ca="1" si="19"/>
        <v>0.17646745717736273</v>
      </c>
      <c r="C100" s="7">
        <f t="shared" ca="1" si="20"/>
        <v>0.11031836571891999</v>
      </c>
      <c r="D100" s="7">
        <f t="shared" ca="1" si="21"/>
        <v>0.14709587586140174</v>
      </c>
      <c r="E100" s="7">
        <f t="shared" ca="1" si="22"/>
        <v>0.12838396101627253</v>
      </c>
      <c r="F100" s="7">
        <f t="shared" ca="1" si="23"/>
        <v>0.1334245340962508</v>
      </c>
      <c r="G100" s="7">
        <f t="shared" ca="1" si="24"/>
        <v>0.17331883754187893</v>
      </c>
      <c r="H100">
        <v>94</v>
      </c>
      <c r="I100" s="7">
        <f t="shared" ca="1" si="25"/>
        <v>0.11031836571891999</v>
      </c>
      <c r="J100" s="7">
        <f t="shared" ca="1" si="26"/>
        <v>15.00087044994206</v>
      </c>
      <c r="K100" s="7">
        <f t="shared" ca="1" si="27"/>
        <v>2.2671256401934494</v>
      </c>
    </row>
    <row r="101" spans="1:11">
      <c r="A101" s="7">
        <f t="shared" ca="1" si="18"/>
        <v>15.046355293081213</v>
      </c>
      <c r="B101" s="7">
        <f t="shared" ca="1" si="19"/>
        <v>0.14551900779957147</v>
      </c>
      <c r="C101" s="7">
        <f t="shared" ca="1" si="20"/>
        <v>0.10732969355343097</v>
      </c>
      <c r="D101" s="7">
        <f t="shared" ca="1" si="21"/>
        <v>0.1691773492463382</v>
      </c>
      <c r="E101" s="7">
        <f t="shared" ca="1" si="22"/>
        <v>0.10157666388256181</v>
      </c>
      <c r="F101" s="7">
        <f t="shared" ca="1" si="23"/>
        <v>0.15485225038100178</v>
      </c>
      <c r="G101" s="7">
        <f t="shared" ca="1" si="24"/>
        <v>0.19754417560207677</v>
      </c>
      <c r="H101" s="5">
        <v>95</v>
      </c>
      <c r="I101" s="7">
        <f t="shared" ca="1" si="25"/>
        <v>0.10157666388256181</v>
      </c>
      <c r="J101" s="7">
        <f t="shared" ca="1" si="26"/>
        <v>15.046355293081213</v>
      </c>
      <c r="K101" s="7">
        <f t="shared" ca="1" si="27"/>
        <v>2.2746220619351702</v>
      </c>
    </row>
    <row r="102" spans="1:11">
      <c r="A102" s="7">
        <f t="shared" ca="1" si="18"/>
        <v>15.256202512641337</v>
      </c>
      <c r="B102" s="7">
        <f t="shared" ca="1" si="19"/>
        <v>0.14494075016123981</v>
      </c>
      <c r="C102" s="7">
        <f t="shared" ca="1" si="20"/>
        <v>0.1312597929937358</v>
      </c>
      <c r="D102" s="7">
        <f t="shared" ca="1" si="21"/>
        <v>0.16771431229414097</v>
      </c>
      <c r="E102" s="7">
        <f t="shared" ca="1" si="22"/>
        <v>0.13569593905707492</v>
      </c>
      <c r="F102" s="7">
        <f t="shared" ca="1" si="23"/>
        <v>0.14851712896548872</v>
      </c>
      <c r="G102" s="7">
        <f t="shared" ca="1" si="24"/>
        <v>0.18923680305753673</v>
      </c>
      <c r="H102">
        <v>96</v>
      </c>
      <c r="I102" s="7">
        <f t="shared" ca="1" si="25"/>
        <v>0.1312597929937358</v>
      </c>
      <c r="J102" s="7">
        <f t="shared" ca="1" si="26"/>
        <v>15.256202512641337</v>
      </c>
      <c r="K102" s="7">
        <f t="shared" ca="1" si="27"/>
        <v>2.3105096055957937</v>
      </c>
    </row>
    <row r="103" spans="1:11">
      <c r="A103" s="7">
        <f t="shared" ca="1" si="18"/>
        <v>17.136864062485756</v>
      </c>
      <c r="B103" s="7">
        <f t="shared" ca="1" si="19"/>
        <v>0.14778183300884382</v>
      </c>
      <c r="C103" s="7">
        <f t="shared" ca="1" si="20"/>
        <v>0.13159179010895614</v>
      </c>
      <c r="D103" s="7">
        <f t="shared" ca="1" si="21"/>
        <v>0.16742680472703708</v>
      </c>
      <c r="E103" s="7">
        <f t="shared" ca="1" si="22"/>
        <v>0.12787008022239038</v>
      </c>
      <c r="F103" s="7">
        <f t="shared" ca="1" si="23"/>
        <v>0.106590278621484</v>
      </c>
      <c r="G103" s="7">
        <f t="shared" ca="1" si="24"/>
        <v>0.13469375556239535</v>
      </c>
      <c r="H103" s="5">
        <v>97</v>
      </c>
      <c r="I103" s="7">
        <f t="shared" ca="1" si="25"/>
        <v>0.106590278621484</v>
      </c>
      <c r="J103" s="7">
        <f t="shared" ca="1" si="26"/>
        <v>17.136864062485756</v>
      </c>
      <c r="K103" s="7">
        <f t="shared" ca="1" si="27"/>
        <v>2.564688372105266</v>
      </c>
    </row>
    <row r="104" spans="1:11">
      <c r="A104" s="7">
        <f t="shared" ca="1" si="18"/>
        <v>13.474756060611025</v>
      </c>
      <c r="B104" s="7">
        <f t="shared" ca="1" si="19"/>
        <v>0.17994871414319374</v>
      </c>
      <c r="C104" s="7">
        <f t="shared" ca="1" si="20"/>
        <v>0.13340887923955427</v>
      </c>
      <c r="D104" s="7">
        <f t="shared" ca="1" si="21"/>
        <v>0.12080625034206602</v>
      </c>
      <c r="E104" s="7">
        <f t="shared" ca="1" si="22"/>
        <v>0.13693155336128712</v>
      </c>
      <c r="F104" s="7">
        <f t="shared" ca="1" si="23"/>
        <v>0.1184507621837156</v>
      </c>
      <c r="G104" s="7">
        <f t="shared" ca="1" si="24"/>
        <v>0.20437763318123503</v>
      </c>
      <c r="H104">
        <v>98</v>
      </c>
      <c r="I104" s="7">
        <f t="shared" ca="1" si="25"/>
        <v>0.1184507621837156</v>
      </c>
      <c r="J104" s="7">
        <f t="shared" ca="1" si="26"/>
        <v>13.474756060611025</v>
      </c>
      <c r="K104" s="7">
        <f t="shared" ca="1" si="27"/>
        <v>2.0526685504374393</v>
      </c>
    </row>
    <row r="105" spans="1:11">
      <c r="A105" s="7">
        <f t="shared" ca="1" si="18"/>
        <v>17.251965247637681</v>
      </c>
      <c r="B105" s="7">
        <f t="shared" ca="1" si="19"/>
        <v>0.10865472683913589</v>
      </c>
      <c r="C105" s="7">
        <f t="shared" ca="1" si="20"/>
        <v>0.10087208838577287</v>
      </c>
      <c r="D105" s="7">
        <f t="shared" ca="1" si="21"/>
        <v>0.16777982050545115</v>
      </c>
      <c r="E105" s="7">
        <f t="shared" ca="1" si="22"/>
        <v>0.10611225323492562</v>
      </c>
      <c r="F105" s="7">
        <f t="shared" ca="1" si="23"/>
        <v>0.16231754225180944</v>
      </c>
      <c r="G105" s="7">
        <f t="shared" ca="1" si="24"/>
        <v>0.15154772305026634</v>
      </c>
      <c r="H105" s="5">
        <v>99</v>
      </c>
      <c r="I105" s="7">
        <f t="shared" ca="1" si="25"/>
        <v>0.10087208838577287</v>
      </c>
      <c r="J105" s="7">
        <f t="shared" ca="1" si="26"/>
        <v>17.251965247637681</v>
      </c>
      <c r="K105" s="7">
        <f t="shared" ca="1" si="27"/>
        <v>2.578464200272149</v>
      </c>
    </row>
    <row r="106" spans="1:11">
      <c r="A106" s="7">
        <f t="shared" ca="1" si="18"/>
        <v>16.41672596599911</v>
      </c>
      <c r="B106" s="7">
        <f t="shared" ca="1" si="19"/>
        <v>0.15863420782986659</v>
      </c>
      <c r="C106" s="7">
        <f t="shared" ca="1" si="20"/>
        <v>0.10559057911431838</v>
      </c>
      <c r="D106" s="7">
        <f t="shared" ca="1" si="21"/>
        <v>0.17344331107125938</v>
      </c>
      <c r="E106" s="7">
        <f t="shared" ca="1" si="22"/>
        <v>0.11663283646946423</v>
      </c>
      <c r="F106" s="7">
        <f t="shared" ca="1" si="23"/>
        <v>0.12869201568255589</v>
      </c>
      <c r="G106" s="7">
        <f t="shared" ca="1" si="24"/>
        <v>0.1794840596079138</v>
      </c>
      <c r="H106">
        <v>100</v>
      </c>
      <c r="I106" s="7">
        <f t="shared" ca="1" si="25"/>
        <v>0.10559057911431838</v>
      </c>
      <c r="J106" s="7">
        <f t="shared" ca="1" si="26"/>
        <v>16.41672596599911</v>
      </c>
      <c r="K106" s="7">
        <f t="shared" ca="1" si="27"/>
        <v>2.4684575679677843</v>
      </c>
    </row>
    <row r="107" spans="1:11">
      <c r="A107" s="7">
        <f t="shared" ca="1" si="18"/>
        <v>19.047068784487799</v>
      </c>
      <c r="B107" s="7">
        <f t="shared" ca="1" si="19"/>
        <v>0.12289270650082018</v>
      </c>
      <c r="C107" s="7">
        <f t="shared" ca="1" si="20"/>
        <v>0.1075504968842675</v>
      </c>
      <c r="D107" s="7">
        <f t="shared" ca="1" si="21"/>
        <v>0.17857572284832138</v>
      </c>
      <c r="E107" s="7">
        <f t="shared" ca="1" si="22"/>
        <v>0.1027930527424559</v>
      </c>
      <c r="F107" s="7">
        <f t="shared" ca="1" si="23"/>
        <v>0.11962873597963446</v>
      </c>
      <c r="G107" s="7">
        <f t="shared" ca="1" si="24"/>
        <v>0.20131977735020792</v>
      </c>
      <c r="H107" s="5">
        <v>101</v>
      </c>
      <c r="I107" s="7">
        <f t="shared" ca="1" si="25"/>
        <v>0.1027930527424559</v>
      </c>
      <c r="J107" s="7">
        <f t="shared" ca="1" si="26"/>
        <v>19.047068784487799</v>
      </c>
      <c r="K107" s="7">
        <f t="shared" ca="1" si="27"/>
        <v>2.8399756109705012</v>
      </c>
    </row>
    <row r="108" spans="1:11">
      <c r="A108" s="7">
        <f t="shared" ca="1" si="18"/>
        <v>13.010570307143833</v>
      </c>
      <c r="B108" s="7">
        <f t="shared" ca="1" si="19"/>
        <v>0.12732020753116896</v>
      </c>
      <c r="C108" s="7">
        <f t="shared" ca="1" si="20"/>
        <v>0.12392457529157035</v>
      </c>
      <c r="D108" s="7">
        <f t="shared" ca="1" si="21"/>
        <v>0.14915346894679138</v>
      </c>
      <c r="E108" s="7">
        <f t="shared" ca="1" si="22"/>
        <v>0.13956989928090208</v>
      </c>
      <c r="F108" s="7">
        <f t="shared" ca="1" si="23"/>
        <v>0.13365827088408769</v>
      </c>
      <c r="G108" s="7">
        <f t="shared" ca="1" si="24"/>
        <v>0.16752233590233762</v>
      </c>
      <c r="H108">
        <v>102</v>
      </c>
      <c r="I108" s="7">
        <f t="shared" ca="1" si="25"/>
        <v>0.12392457529157035</v>
      </c>
      <c r="J108" s="7">
        <f t="shared" ca="1" si="26"/>
        <v>13.010570307143833</v>
      </c>
      <c r="K108" s="7">
        <f t="shared" ca="1" si="27"/>
        <v>1.9788170092829556</v>
      </c>
    </row>
    <row r="109" spans="1:11">
      <c r="A109" s="7">
        <f t="shared" ca="1" si="18"/>
        <v>18.08548838534292</v>
      </c>
      <c r="B109" s="7">
        <f t="shared" ca="1" si="19"/>
        <v>0.17876011356088972</v>
      </c>
      <c r="C109" s="7">
        <f t="shared" ca="1" si="20"/>
        <v>0.12705078453053104</v>
      </c>
      <c r="D109" s="7">
        <f t="shared" ca="1" si="21"/>
        <v>0.18567762991510761</v>
      </c>
      <c r="E109" s="7">
        <f t="shared" ca="1" si="22"/>
        <v>0.11990970802651613</v>
      </c>
      <c r="F109" s="7">
        <f t="shared" ca="1" si="23"/>
        <v>0.10365064988031418</v>
      </c>
      <c r="G109" s="7">
        <f t="shared" ca="1" si="24"/>
        <v>0.20444854740624968</v>
      </c>
      <c r="H109" s="5">
        <v>103</v>
      </c>
      <c r="I109" s="7">
        <f t="shared" ca="1" si="25"/>
        <v>0.10365064988031418</v>
      </c>
      <c r="J109" s="7">
        <f t="shared" ca="1" si="26"/>
        <v>18.08548838534292</v>
      </c>
      <c r="K109" s="7">
        <f t="shared" ca="1" si="27"/>
        <v>2.7149979740946475</v>
      </c>
    </row>
    <row r="110" spans="1:11">
      <c r="A110" s="7">
        <f t="shared" ca="1" si="18"/>
        <v>16.557353595523839</v>
      </c>
      <c r="B110" s="7">
        <f t="shared" ca="1" si="19"/>
        <v>0.10624388635879546</v>
      </c>
      <c r="C110" s="7">
        <f t="shared" ca="1" si="20"/>
        <v>0.13656616344283695</v>
      </c>
      <c r="D110" s="7">
        <f t="shared" ca="1" si="21"/>
        <v>0.15441910318560559</v>
      </c>
      <c r="E110" s="7">
        <f t="shared" ca="1" si="22"/>
        <v>0.13965639659090823</v>
      </c>
      <c r="F110" s="7">
        <f t="shared" ca="1" si="23"/>
        <v>0.10388192524637381</v>
      </c>
      <c r="G110" s="7">
        <f t="shared" ca="1" si="24"/>
        <v>0.146410244922416</v>
      </c>
      <c r="H110">
        <v>104</v>
      </c>
      <c r="I110" s="7">
        <f t="shared" ca="1" si="25"/>
        <v>0.10388192524637381</v>
      </c>
      <c r="J110" s="7">
        <f t="shared" ca="1" si="26"/>
        <v>16.557353595523839</v>
      </c>
      <c r="K110" s="7">
        <f t="shared" ca="1" si="27"/>
        <v>2.4777901878958248</v>
      </c>
    </row>
    <row r="111" spans="1:11">
      <c r="A111" s="7">
        <f t="shared" ca="1" si="18"/>
        <v>16.218480143888478</v>
      </c>
      <c r="B111" s="7">
        <f t="shared" ca="1" si="19"/>
        <v>0.1689816001255772</v>
      </c>
      <c r="C111" s="7">
        <f t="shared" ca="1" si="20"/>
        <v>0.1228106513054615</v>
      </c>
      <c r="D111" s="7">
        <f t="shared" ca="1" si="21"/>
        <v>0.10424024640255196</v>
      </c>
      <c r="E111" s="7">
        <f t="shared" ca="1" si="22"/>
        <v>0.10471716654309549</v>
      </c>
      <c r="F111" s="7">
        <f t="shared" ca="1" si="23"/>
        <v>0.10587357270015751</v>
      </c>
      <c r="G111" s="7">
        <f t="shared" ca="1" si="24"/>
        <v>0.16504639317708866</v>
      </c>
      <c r="H111" s="5">
        <v>105</v>
      </c>
      <c r="I111" s="7">
        <f t="shared" ca="1" si="25"/>
        <v>0.10424024640255196</v>
      </c>
      <c r="J111" s="7">
        <f t="shared" ca="1" si="26"/>
        <v>16.218480143888478</v>
      </c>
      <c r="K111" s="7">
        <f t="shared" ca="1" si="27"/>
        <v>2.4271642534489155</v>
      </c>
    </row>
    <row r="112" spans="1:11">
      <c r="A112" s="7">
        <f t="shared" ca="1" si="18"/>
        <v>12.443364331933919</v>
      </c>
      <c r="B112" s="7">
        <f t="shared" ca="1" si="19"/>
        <v>0.17943238510227227</v>
      </c>
      <c r="C112" s="7">
        <f t="shared" ca="1" si="20"/>
        <v>0.12646998165644399</v>
      </c>
      <c r="D112" s="7">
        <f t="shared" ca="1" si="21"/>
        <v>0.10229445165033425</v>
      </c>
      <c r="E112" s="7">
        <f t="shared" ca="1" si="22"/>
        <v>0.14296244327329621</v>
      </c>
      <c r="F112" s="7">
        <f t="shared" ca="1" si="23"/>
        <v>0.1209555613121316</v>
      </c>
      <c r="G112" s="7">
        <f t="shared" ca="1" si="24"/>
        <v>0.19741659928813249</v>
      </c>
      <c r="H112">
        <v>106</v>
      </c>
      <c r="I112" s="7">
        <f t="shared" ca="1" si="25"/>
        <v>0.10229445165033425</v>
      </c>
      <c r="J112" s="7">
        <f t="shared" ca="1" si="26"/>
        <v>12.443364331933919</v>
      </c>
      <c r="K112" s="7">
        <f t="shared" ca="1" si="27"/>
        <v>1.9018422506023611</v>
      </c>
    </row>
    <row r="113" spans="1:11">
      <c r="A113" s="7">
        <f t="shared" ca="1" si="18"/>
        <v>19.897513996687429</v>
      </c>
      <c r="B113" s="7">
        <f t="shared" ca="1" si="19"/>
        <v>0.1502686157309612</v>
      </c>
      <c r="C113" s="7">
        <f t="shared" ca="1" si="20"/>
        <v>0.13791286523144058</v>
      </c>
      <c r="D113" s="7">
        <f t="shared" ca="1" si="21"/>
        <v>0.17224812762877767</v>
      </c>
      <c r="E113" s="7">
        <f t="shared" ca="1" si="22"/>
        <v>0.11171083613596024</v>
      </c>
      <c r="F113" s="7">
        <f t="shared" ca="1" si="23"/>
        <v>0.10411742882345867</v>
      </c>
      <c r="G113" s="7">
        <f t="shared" ca="1" si="24"/>
        <v>0.14022632024394766</v>
      </c>
      <c r="H113" s="5">
        <v>107</v>
      </c>
      <c r="I113" s="7">
        <f t="shared" ca="1" si="25"/>
        <v>0.10411742882345867</v>
      </c>
      <c r="J113" s="7">
        <f t="shared" ca="1" si="26"/>
        <v>19.897513996687429</v>
      </c>
      <c r="K113" s="7">
        <f t="shared" ca="1" si="27"/>
        <v>2.9591425986402817</v>
      </c>
    </row>
    <row r="114" spans="1:11">
      <c r="A114" s="7">
        <f t="shared" ca="1" si="18"/>
        <v>13.895345531018311</v>
      </c>
      <c r="B114" s="7">
        <f t="shared" ca="1" si="19"/>
        <v>0.14435285658449437</v>
      </c>
      <c r="C114" s="7">
        <f t="shared" ca="1" si="20"/>
        <v>0.11118882736114775</v>
      </c>
      <c r="D114" s="7">
        <f t="shared" ca="1" si="21"/>
        <v>0.18654539136970705</v>
      </c>
      <c r="E114" s="7">
        <f t="shared" ca="1" si="22"/>
        <v>0.12745294369024746</v>
      </c>
      <c r="F114" s="7">
        <f t="shared" ca="1" si="23"/>
        <v>0.11512314387559321</v>
      </c>
      <c r="G114" s="7">
        <f t="shared" ca="1" si="24"/>
        <v>0.12230654719228268</v>
      </c>
      <c r="H114">
        <v>108</v>
      </c>
      <c r="I114" s="7">
        <f t="shared" ca="1" si="25"/>
        <v>0.11118882736114775</v>
      </c>
      <c r="J114" s="7">
        <f t="shared" ca="1" si="26"/>
        <v>13.895345531018311</v>
      </c>
      <c r="K114" s="7">
        <f t="shared" ca="1" si="27"/>
        <v>2.1003307487273974</v>
      </c>
    </row>
    <row r="115" spans="1:11">
      <c r="A115" s="7">
        <f t="shared" ca="1" si="18"/>
        <v>14.637890316181972</v>
      </c>
      <c r="B115" s="7">
        <f t="shared" ca="1" si="19"/>
        <v>0.13543698885065389</v>
      </c>
      <c r="C115" s="7">
        <f t="shared" ca="1" si="20"/>
        <v>0.13311113475903122</v>
      </c>
      <c r="D115" s="7">
        <f t="shared" ca="1" si="21"/>
        <v>0.17163640709805716</v>
      </c>
      <c r="E115" s="7">
        <f t="shared" ca="1" si="22"/>
        <v>0.12178275479519887</v>
      </c>
      <c r="F115" s="7">
        <f t="shared" ca="1" si="23"/>
        <v>0.13180959906120973</v>
      </c>
      <c r="G115" s="7">
        <f t="shared" ca="1" si="24"/>
        <v>0.11817810950364016</v>
      </c>
      <c r="H115" s="5">
        <v>109</v>
      </c>
      <c r="I115" s="7">
        <f t="shared" ca="1" si="25"/>
        <v>0.11817810950364016</v>
      </c>
      <c r="J115" s="7">
        <f t="shared" ca="1" si="26"/>
        <v>14.637890316181972</v>
      </c>
      <c r="K115" s="7">
        <f t="shared" ca="1" si="27"/>
        <v>2.2071207586071089</v>
      </c>
    </row>
    <row r="116" spans="1:11">
      <c r="A116" s="7">
        <f t="shared" ca="1" si="18"/>
        <v>14.691014163564367</v>
      </c>
      <c r="B116" s="7">
        <f t="shared" ca="1" si="19"/>
        <v>0.14644701643762648</v>
      </c>
      <c r="C116" s="7">
        <f t="shared" ca="1" si="20"/>
        <v>0.11105267274995742</v>
      </c>
      <c r="D116" s="7">
        <f t="shared" ca="1" si="21"/>
        <v>0.15800395957968219</v>
      </c>
      <c r="E116" s="7">
        <f t="shared" ca="1" si="22"/>
        <v>0.13572234441483072</v>
      </c>
      <c r="F116" s="7">
        <f t="shared" ca="1" si="23"/>
        <v>0.12584787549147916</v>
      </c>
      <c r="G116" s="7">
        <f t="shared" ca="1" si="24"/>
        <v>0.13348306146901981</v>
      </c>
      <c r="H116">
        <v>110</v>
      </c>
      <c r="I116" s="7">
        <f t="shared" ca="1" si="25"/>
        <v>0.11105267274995742</v>
      </c>
      <c r="J116" s="7">
        <f t="shared" ca="1" si="26"/>
        <v>14.691014163564367</v>
      </c>
      <c r="K116" s="7">
        <f t="shared" ca="1" si="27"/>
        <v>2.2145101562438518</v>
      </c>
    </row>
    <row r="117" spans="1:11">
      <c r="A117" s="7">
        <f t="shared" ca="1" si="18"/>
        <v>19.282030986904061</v>
      </c>
      <c r="B117" s="7">
        <f t="shared" ca="1" si="19"/>
        <v>0.12699378959009761</v>
      </c>
      <c r="C117" s="7">
        <f t="shared" ca="1" si="20"/>
        <v>0.12584573304561483</v>
      </c>
      <c r="D117" s="7">
        <f t="shared" ca="1" si="21"/>
        <v>0.17916645445879076</v>
      </c>
      <c r="E117" s="7">
        <f t="shared" ca="1" si="22"/>
        <v>0.14243338872777023</v>
      </c>
      <c r="F117" s="7">
        <f t="shared" ca="1" si="23"/>
        <v>0.12471812323866167</v>
      </c>
      <c r="G117" s="7">
        <f t="shared" ca="1" si="24"/>
        <v>0.10035497416282706</v>
      </c>
      <c r="H117" s="5">
        <v>111</v>
      </c>
      <c r="I117" s="7">
        <f t="shared" ca="1" si="25"/>
        <v>0.10035497416282706</v>
      </c>
      <c r="J117" s="7">
        <f t="shared" ca="1" si="26"/>
        <v>19.282030986904061</v>
      </c>
      <c r="K117" s="7">
        <f t="shared" ca="1" si="27"/>
        <v>2.868791921446832</v>
      </c>
    </row>
    <row r="118" spans="1:11">
      <c r="A118" s="7">
        <f t="shared" ca="1" si="18"/>
        <v>20.481345418768214</v>
      </c>
      <c r="B118" s="7">
        <f t="shared" ca="1" si="19"/>
        <v>0.17830452831022098</v>
      </c>
      <c r="C118" s="7">
        <f t="shared" ca="1" si="20"/>
        <v>0.12076783058418106</v>
      </c>
      <c r="D118" s="7">
        <f t="shared" ca="1" si="21"/>
        <v>0.13962583226017228</v>
      </c>
      <c r="E118" s="7">
        <f t="shared" ca="1" si="22"/>
        <v>0.12057024308105095</v>
      </c>
      <c r="F118" s="7">
        <f t="shared" ca="1" si="23"/>
        <v>0.12115589231246107</v>
      </c>
      <c r="G118" s="7">
        <f t="shared" ca="1" si="24"/>
        <v>0.12995441497031146</v>
      </c>
      <c r="H118">
        <v>112</v>
      </c>
      <c r="I118" s="7">
        <f t="shared" ca="1" si="25"/>
        <v>0.12057024308105095</v>
      </c>
      <c r="J118" s="7">
        <f t="shared" ca="1" si="26"/>
        <v>20.481345418768214</v>
      </c>
      <c r="K118" s="7">
        <f t="shared" ca="1" si="27"/>
        <v>3.0416748800409446</v>
      </c>
    </row>
    <row r="119" spans="1:11">
      <c r="A119" s="7">
        <f t="shared" ca="1" si="18"/>
        <v>19.381359900438369</v>
      </c>
      <c r="B119" s="7">
        <f t="shared" ca="1" si="19"/>
        <v>0.15399591056422254</v>
      </c>
      <c r="C119" s="7">
        <f t="shared" ca="1" si="20"/>
        <v>0.13477478194580172</v>
      </c>
      <c r="D119" s="7">
        <f t="shared" ca="1" si="21"/>
        <v>0.14028031047671069</v>
      </c>
      <c r="E119" s="7">
        <f t="shared" ca="1" si="22"/>
        <v>0.11915692040065982</v>
      </c>
      <c r="F119" s="7">
        <f t="shared" ca="1" si="23"/>
        <v>0.12382367478645992</v>
      </c>
      <c r="G119" s="7">
        <f t="shared" ca="1" si="24"/>
        <v>0.14406332300300595</v>
      </c>
      <c r="H119" s="5">
        <v>113</v>
      </c>
      <c r="I119" s="7">
        <f t="shared" ca="1" si="25"/>
        <v>0.11915692040065982</v>
      </c>
      <c r="J119" s="7">
        <f t="shared" ca="1" si="26"/>
        <v>19.381359900438369</v>
      </c>
      <c r="K119" s="7">
        <f t="shared" ca="1" si="27"/>
        <v>2.885350688802176</v>
      </c>
    </row>
    <row r="120" spans="1:11">
      <c r="A120" s="7">
        <f t="shared" ca="1" si="18"/>
        <v>15.705891062221008</v>
      </c>
      <c r="B120" s="7">
        <f t="shared" ca="1" si="19"/>
        <v>0.15785661086826061</v>
      </c>
      <c r="C120" s="7">
        <f t="shared" ca="1" si="20"/>
        <v>0.13904071245408375</v>
      </c>
      <c r="D120" s="7">
        <f t="shared" ca="1" si="21"/>
        <v>0.13502062136958237</v>
      </c>
      <c r="E120" s="7">
        <f t="shared" ca="1" si="22"/>
        <v>0.13674922998490263</v>
      </c>
      <c r="F120" s="7">
        <f t="shared" ca="1" si="23"/>
        <v>0.15889766728881879</v>
      </c>
      <c r="G120" s="7">
        <f t="shared" ca="1" si="24"/>
        <v>0.19726646323128488</v>
      </c>
      <c r="H120">
        <v>114</v>
      </c>
      <c r="I120" s="7">
        <f t="shared" ca="1" si="25"/>
        <v>0.13502062136958237</v>
      </c>
      <c r="J120" s="7">
        <f t="shared" ca="1" si="26"/>
        <v>15.705891062221008</v>
      </c>
      <c r="K120" s="7">
        <f t="shared" ca="1" si="27"/>
        <v>2.3758174810597055</v>
      </c>
    </row>
    <row r="121" spans="1:11">
      <c r="A121" s="7">
        <f t="shared" ca="1" si="18"/>
        <v>20.722199160422193</v>
      </c>
      <c r="B121" s="7">
        <f t="shared" ca="1" si="19"/>
        <v>0.1462316867730134</v>
      </c>
      <c r="C121" s="7">
        <f t="shared" ca="1" si="20"/>
        <v>0.12760279922488627</v>
      </c>
      <c r="D121" s="7">
        <f t="shared" ca="1" si="21"/>
        <v>0.14232038855447324</v>
      </c>
      <c r="E121" s="7">
        <f t="shared" ca="1" si="22"/>
        <v>0.14918591589298136</v>
      </c>
      <c r="F121" s="7">
        <f t="shared" ca="1" si="23"/>
        <v>0.11331262696373549</v>
      </c>
      <c r="G121" s="7">
        <f t="shared" ca="1" si="24"/>
        <v>0.16378409808298403</v>
      </c>
      <c r="H121" s="5">
        <v>115</v>
      </c>
      <c r="I121" s="7">
        <f t="shared" ca="1" si="25"/>
        <v>0.11331262696373549</v>
      </c>
      <c r="J121" s="7">
        <f t="shared" ca="1" si="26"/>
        <v>20.722199160422193</v>
      </c>
      <c r="K121" s="7">
        <f t="shared" ca="1" si="27"/>
        <v>3.0806623822734669</v>
      </c>
    </row>
    <row r="122" spans="1:11">
      <c r="A122" s="7">
        <f t="shared" ca="1" si="18"/>
        <v>20.052895921719852</v>
      </c>
      <c r="B122" s="7">
        <f t="shared" ca="1" si="19"/>
        <v>0.15179906425366671</v>
      </c>
      <c r="C122" s="7">
        <f t="shared" ca="1" si="20"/>
        <v>0.10175046816485338</v>
      </c>
      <c r="D122" s="7">
        <f t="shared" ca="1" si="21"/>
        <v>0.11510203342188045</v>
      </c>
      <c r="E122" s="7">
        <f t="shared" ca="1" si="22"/>
        <v>0.14757808750009987</v>
      </c>
      <c r="F122" s="7">
        <f t="shared" ca="1" si="23"/>
        <v>0.13344014521064593</v>
      </c>
      <c r="G122" s="7">
        <f t="shared" ca="1" si="24"/>
        <v>0.20164376011486049</v>
      </c>
      <c r="H122">
        <v>116</v>
      </c>
      <c r="I122" s="7">
        <f t="shared" ca="1" si="25"/>
        <v>0.10175046816485338</v>
      </c>
      <c r="J122" s="7">
        <f t="shared" ca="1" si="26"/>
        <v>20.052895921719852</v>
      </c>
      <c r="K122" s="7">
        <f t="shared" ca="1" si="27"/>
        <v>2.9863156400551221</v>
      </c>
    </row>
    <row r="123" spans="1:11">
      <c r="A123" s="7">
        <f t="shared" ca="1" si="18"/>
        <v>15.595562782628468</v>
      </c>
      <c r="B123" s="7">
        <f t="shared" ca="1" si="19"/>
        <v>0.16759345089585745</v>
      </c>
      <c r="C123" s="7">
        <f t="shared" ca="1" si="20"/>
        <v>0.12065486912350377</v>
      </c>
      <c r="D123" s="7">
        <f t="shared" ca="1" si="21"/>
        <v>0.17058295545356778</v>
      </c>
      <c r="E123" s="7">
        <f t="shared" ca="1" si="22"/>
        <v>0.11558602644432127</v>
      </c>
      <c r="F123" s="7">
        <f t="shared" ca="1" si="23"/>
        <v>0.14635266330470678</v>
      </c>
      <c r="G123" s="7">
        <f t="shared" ca="1" si="24"/>
        <v>0.19156060233708005</v>
      </c>
      <c r="H123" s="5">
        <v>117</v>
      </c>
      <c r="I123" s="7">
        <f t="shared" ca="1" si="25"/>
        <v>0.11558602644432127</v>
      </c>
      <c r="J123" s="7">
        <f t="shared" ca="1" si="26"/>
        <v>15.595562782628468</v>
      </c>
      <c r="K123" s="7">
        <f t="shared" ca="1" si="27"/>
        <v>2.3582704785982154</v>
      </c>
    </row>
    <row r="124" spans="1:11">
      <c r="A124" s="7">
        <f t="shared" ca="1" si="18"/>
        <v>15.855417315018327</v>
      </c>
      <c r="B124" s="7">
        <f t="shared" ca="1" si="19"/>
        <v>0.16054145907018921</v>
      </c>
      <c r="C124" s="7">
        <f t="shared" ca="1" si="20"/>
        <v>0.1249399789227295</v>
      </c>
      <c r="D124" s="7">
        <f t="shared" ca="1" si="21"/>
        <v>0.10207324830174054</v>
      </c>
      <c r="E124" s="7">
        <f t="shared" ca="1" si="22"/>
        <v>0.14514929167322221</v>
      </c>
      <c r="F124" s="7">
        <f t="shared" ca="1" si="23"/>
        <v>0.11046920744622346</v>
      </c>
      <c r="G124" s="7">
        <f t="shared" ca="1" si="24"/>
        <v>0.20831544694900012</v>
      </c>
      <c r="H124">
        <v>118</v>
      </c>
      <c r="I124" s="7">
        <f t="shared" ca="1" si="25"/>
        <v>0.10207324830174054</v>
      </c>
      <c r="J124" s="7">
        <f t="shared" ca="1" si="26"/>
        <v>15.855417315018327</v>
      </c>
      <c r="K124" s="7">
        <f t="shared" ca="1" si="27"/>
        <v>2.3867008496259183</v>
      </c>
    </row>
    <row r="125" spans="1:11">
      <c r="A125" s="7">
        <f t="shared" ca="1" si="18"/>
        <v>14.930970369998093</v>
      </c>
      <c r="B125" s="7">
        <f t="shared" ca="1" si="19"/>
        <v>0.11412945150323159</v>
      </c>
      <c r="C125" s="7">
        <f t="shared" ca="1" si="20"/>
        <v>0.13136249753883136</v>
      </c>
      <c r="D125" s="7">
        <f t="shared" ca="1" si="21"/>
        <v>0.13941462448882916</v>
      </c>
      <c r="E125" s="7">
        <f t="shared" ca="1" si="22"/>
        <v>0.1246087472202039</v>
      </c>
      <c r="F125" s="7">
        <f t="shared" ca="1" si="23"/>
        <v>0.13925131780996655</v>
      </c>
      <c r="G125" s="7">
        <f t="shared" ca="1" si="24"/>
        <v>0.1360186920572683</v>
      </c>
      <c r="H125" s="5">
        <v>119</v>
      </c>
      <c r="I125" s="7">
        <f t="shared" ca="1" si="25"/>
        <v>0.11412945150323159</v>
      </c>
      <c r="J125" s="7">
        <f t="shared" ca="1" si="26"/>
        <v>14.930970369998093</v>
      </c>
      <c r="K125" s="7">
        <f t="shared" ca="1" si="27"/>
        <v>2.2451079572309176</v>
      </c>
    </row>
    <row r="126" spans="1:11">
      <c r="A126" s="7">
        <f t="shared" ca="1" si="18"/>
        <v>14.240928590321232</v>
      </c>
      <c r="B126" s="7">
        <f t="shared" ca="1" si="19"/>
        <v>0.14396946035911104</v>
      </c>
      <c r="C126" s="7">
        <f t="shared" ca="1" si="20"/>
        <v>0.13526672875888895</v>
      </c>
      <c r="D126" s="7">
        <f t="shared" ca="1" si="21"/>
        <v>0.10025406404070512</v>
      </c>
      <c r="E126" s="7">
        <f t="shared" ca="1" si="22"/>
        <v>0.13683317716628704</v>
      </c>
      <c r="F126" s="7">
        <f t="shared" ca="1" si="23"/>
        <v>0.16402318593994697</v>
      </c>
      <c r="G126" s="7">
        <f t="shared" ca="1" si="24"/>
        <v>0.20545413919206051</v>
      </c>
      <c r="H126">
        <v>120</v>
      </c>
      <c r="I126" s="7">
        <f t="shared" ca="1" si="25"/>
        <v>0.10025406404070512</v>
      </c>
      <c r="J126" s="7">
        <f t="shared" ca="1" si="26"/>
        <v>14.240928590321232</v>
      </c>
      <c r="K126" s="7">
        <f t="shared" ca="1" si="27"/>
        <v>2.1609613351111756</v>
      </c>
    </row>
    <row r="127" spans="1:11">
      <c r="A127" s="7">
        <f t="shared" ca="1" si="18"/>
        <v>16.176721482312928</v>
      </c>
      <c r="B127" s="7">
        <f t="shared" ca="1" si="19"/>
        <v>0.13977405699497475</v>
      </c>
      <c r="C127" s="7">
        <f t="shared" ca="1" si="20"/>
        <v>0.12439201932528379</v>
      </c>
      <c r="D127" s="7">
        <f t="shared" ca="1" si="21"/>
        <v>0.11115761452637976</v>
      </c>
      <c r="E127" s="7">
        <f t="shared" ca="1" si="22"/>
        <v>0.13577485563198285</v>
      </c>
      <c r="F127" s="7">
        <f t="shared" ca="1" si="23"/>
        <v>0.13803738067223503</v>
      </c>
      <c r="G127" s="7">
        <f t="shared" ca="1" si="24"/>
        <v>0.1087327738785103</v>
      </c>
      <c r="H127" s="5">
        <v>121</v>
      </c>
      <c r="I127" s="7">
        <f t="shared" ca="1" si="25"/>
        <v>0.1087327738785103</v>
      </c>
      <c r="J127" s="7">
        <f t="shared" ca="1" si="26"/>
        <v>16.176721482312928</v>
      </c>
      <c r="K127" s="7">
        <f t="shared" ca="1" si="27"/>
        <v>2.4192271690488991</v>
      </c>
    </row>
    <row r="128" spans="1:11">
      <c r="A128" s="7">
        <f t="shared" ca="1" si="18"/>
        <v>12.263623269201203</v>
      </c>
      <c r="B128" s="7">
        <f t="shared" ca="1" si="19"/>
        <v>0.13197207594982441</v>
      </c>
      <c r="C128" s="7">
        <f t="shared" ca="1" si="20"/>
        <v>0.10296257582982991</v>
      </c>
      <c r="D128" s="7">
        <f t="shared" ca="1" si="21"/>
        <v>0.14587220550143279</v>
      </c>
      <c r="E128" s="7">
        <f t="shared" ca="1" si="22"/>
        <v>0.14809072126574352</v>
      </c>
      <c r="F128" s="7">
        <f t="shared" ca="1" si="23"/>
        <v>0.16834133396341205</v>
      </c>
      <c r="G128" s="7">
        <f t="shared" ca="1" si="24"/>
        <v>0.10196366445236472</v>
      </c>
      <c r="H128">
        <v>122</v>
      </c>
      <c r="I128" s="7">
        <f t="shared" ca="1" si="25"/>
        <v>0.10196366445236472</v>
      </c>
      <c r="J128" s="7">
        <f t="shared" ca="1" si="26"/>
        <v>12.263623269201203</v>
      </c>
      <c r="K128" s="7">
        <f t="shared" ca="1" si="27"/>
        <v>1.8661179780234014</v>
      </c>
    </row>
    <row r="129" spans="1:11">
      <c r="A129" s="7">
        <f t="shared" ca="1" si="18"/>
        <v>17.810197177598077</v>
      </c>
      <c r="B129" s="7">
        <f t="shared" ca="1" si="19"/>
        <v>0.10820782487573634</v>
      </c>
      <c r="C129" s="7">
        <f t="shared" ca="1" si="20"/>
        <v>0.12680104992021476</v>
      </c>
      <c r="D129" s="7">
        <f t="shared" ca="1" si="21"/>
        <v>0.18168219738065819</v>
      </c>
      <c r="E129" s="7">
        <f t="shared" ca="1" si="22"/>
        <v>0.10272677913085404</v>
      </c>
      <c r="F129" s="7">
        <f t="shared" ca="1" si="23"/>
        <v>0.16696955049500362</v>
      </c>
      <c r="G129" s="7">
        <f t="shared" ca="1" si="24"/>
        <v>0.14551450139902872</v>
      </c>
      <c r="H129" s="5">
        <v>123</v>
      </c>
      <c r="I129" s="7">
        <f t="shared" ca="1" si="25"/>
        <v>0.10272677913085404</v>
      </c>
      <c r="J129" s="7">
        <f t="shared" ca="1" si="26"/>
        <v>17.810197177598077</v>
      </c>
      <c r="K129" s="7">
        <f t="shared" ca="1" si="27"/>
        <v>2.6631570115427965</v>
      </c>
    </row>
    <row r="130" spans="1:11">
      <c r="A130" s="7">
        <f t="shared" ca="1" si="18"/>
        <v>12.305262255881528</v>
      </c>
      <c r="B130" s="7">
        <f t="shared" ca="1" si="19"/>
        <v>0.10988874390520308</v>
      </c>
      <c r="C130" s="7">
        <f t="shared" ca="1" si="20"/>
        <v>0.11607338687045064</v>
      </c>
      <c r="D130" s="7">
        <f t="shared" ca="1" si="21"/>
        <v>0.14170746176197982</v>
      </c>
      <c r="E130" s="7">
        <f t="shared" ca="1" si="22"/>
        <v>0.11504386590822328</v>
      </c>
      <c r="F130" s="7">
        <f t="shared" ca="1" si="23"/>
        <v>0.10592811635441229</v>
      </c>
      <c r="G130" s="7">
        <f t="shared" ca="1" si="24"/>
        <v>0.20116081815638542</v>
      </c>
      <c r="H130">
        <v>124</v>
      </c>
      <c r="I130" s="7">
        <f t="shared" ca="1" si="25"/>
        <v>0.10592811635441229</v>
      </c>
      <c r="J130" s="7">
        <f t="shared" ca="1" si="26"/>
        <v>12.305262255881528</v>
      </c>
      <c r="K130" s="7">
        <f t="shared" ca="1" si="27"/>
        <v>1.8707235212625977</v>
      </c>
    </row>
    <row r="131" spans="1:11">
      <c r="A131" s="7">
        <f t="shared" ca="1" si="18"/>
        <v>18.856893376255861</v>
      </c>
      <c r="B131" s="7">
        <f t="shared" ca="1" si="19"/>
        <v>0.1207727834163787</v>
      </c>
      <c r="C131" s="7">
        <f t="shared" ca="1" si="20"/>
        <v>0.13773196761966097</v>
      </c>
      <c r="D131" s="7">
        <f t="shared" ca="1" si="21"/>
        <v>0.16723969732730309</v>
      </c>
      <c r="E131" s="7">
        <f t="shared" ca="1" si="22"/>
        <v>0.10185008216740898</v>
      </c>
      <c r="F131" s="7">
        <f t="shared" ca="1" si="23"/>
        <v>0.1388824299984599</v>
      </c>
      <c r="G131" s="7">
        <f t="shared" ca="1" si="24"/>
        <v>0.13330179575398421</v>
      </c>
      <c r="H131" s="5">
        <v>125</v>
      </c>
      <c r="I131" s="7">
        <f t="shared" ca="1" si="25"/>
        <v>0.10185008216740898</v>
      </c>
      <c r="J131" s="7">
        <f t="shared" ca="1" si="26"/>
        <v>18.856893376255861</v>
      </c>
      <c r="K131" s="7">
        <f t="shared" ca="1" si="27"/>
        <v>2.8080960189341511</v>
      </c>
    </row>
    <row r="132" spans="1:11">
      <c r="A132" s="7">
        <f t="shared" ca="1" si="18"/>
        <v>14.059552108869621</v>
      </c>
      <c r="B132" s="7">
        <f t="shared" ca="1" si="19"/>
        <v>0.17288048770964753</v>
      </c>
      <c r="C132" s="7">
        <f t="shared" ca="1" si="20"/>
        <v>0.13568480991025378</v>
      </c>
      <c r="D132" s="7">
        <f t="shared" ca="1" si="21"/>
        <v>0.12278011866696092</v>
      </c>
      <c r="E132" s="7">
        <f t="shared" ca="1" si="22"/>
        <v>0.12511719889106951</v>
      </c>
      <c r="F132" s="7">
        <f t="shared" ca="1" si="23"/>
        <v>0.13262452673402769</v>
      </c>
      <c r="G132" s="7">
        <f t="shared" ca="1" si="24"/>
        <v>0.13412834905177129</v>
      </c>
      <c r="H132">
        <v>126</v>
      </c>
      <c r="I132" s="7">
        <f t="shared" ca="1" si="25"/>
        <v>0.12278011866696092</v>
      </c>
      <c r="J132" s="7">
        <f t="shared" ca="1" si="26"/>
        <v>14.059552108869621</v>
      </c>
      <c r="K132" s="7">
        <f t="shared" ca="1" si="27"/>
        <v>2.1261096571190503</v>
      </c>
    </row>
    <row r="133" spans="1:11">
      <c r="A133" s="7">
        <f t="shared" ca="1" si="18"/>
        <v>12.484953289027095</v>
      </c>
      <c r="B133" s="7">
        <f t="shared" ca="1" si="19"/>
        <v>0.16949953819655003</v>
      </c>
      <c r="C133" s="7">
        <f t="shared" ca="1" si="20"/>
        <v>0.10506171689495639</v>
      </c>
      <c r="D133" s="7">
        <f t="shared" ca="1" si="21"/>
        <v>0.13881917588568804</v>
      </c>
      <c r="E133" s="7">
        <f t="shared" ca="1" si="22"/>
        <v>0.10438598662004592</v>
      </c>
      <c r="F133" s="7">
        <f t="shared" ca="1" si="23"/>
        <v>0.10636053959115603</v>
      </c>
      <c r="G133" s="7">
        <f t="shared" ca="1" si="24"/>
        <v>0.11859583541481157</v>
      </c>
      <c r="H133" s="5">
        <v>127</v>
      </c>
      <c r="I133" s="7">
        <f t="shared" ca="1" si="25"/>
        <v>0.10438598662004592</v>
      </c>
      <c r="J133" s="7">
        <f t="shared" ca="1" si="26"/>
        <v>12.484953289027095</v>
      </c>
      <c r="K133" s="7">
        <f t="shared" ca="1" si="27"/>
        <v>1.8896680116614721</v>
      </c>
    </row>
    <row r="134" spans="1:11">
      <c r="A134" s="7">
        <f t="shared" ca="1" si="18"/>
        <v>12.818700621943472</v>
      </c>
      <c r="B134" s="7">
        <f t="shared" ca="1" si="19"/>
        <v>0.13398395801387711</v>
      </c>
      <c r="C134" s="7">
        <f t="shared" ca="1" si="20"/>
        <v>0.13521538753960013</v>
      </c>
      <c r="D134" s="7">
        <f t="shared" ca="1" si="21"/>
        <v>0.15539270389457627</v>
      </c>
      <c r="E134" s="7">
        <f t="shared" ca="1" si="22"/>
        <v>0.11651066453568404</v>
      </c>
      <c r="F134" s="7">
        <f t="shared" ca="1" si="23"/>
        <v>0.14357584420819408</v>
      </c>
      <c r="G134" s="7">
        <f t="shared" ca="1" si="24"/>
        <v>0.17230913850088567</v>
      </c>
      <c r="H134">
        <v>128</v>
      </c>
      <c r="I134" s="7">
        <f t="shared" ca="1" si="25"/>
        <v>0.11651066453568404</v>
      </c>
      <c r="J134" s="7">
        <f t="shared" ca="1" si="26"/>
        <v>12.818700621943472</v>
      </c>
      <c r="K134" s="7">
        <f t="shared" ca="1" si="27"/>
        <v>1.953669759805184</v>
      </c>
    </row>
    <row r="135" spans="1:11">
      <c r="A135" s="7">
        <f t="shared" ref="A135:A150" ca="1" si="28">RAND()*($A$5-$A$4)+$A$4</f>
        <v>13.285449285914975</v>
      </c>
      <c r="B135" s="7">
        <f t="shared" ca="1" si="19"/>
        <v>0.11379288321955833</v>
      </c>
      <c r="C135" s="7">
        <f t="shared" ca="1" si="20"/>
        <v>0.1129887241791685</v>
      </c>
      <c r="D135" s="7">
        <f t="shared" ca="1" si="21"/>
        <v>0.15898358047634609</v>
      </c>
      <c r="E135" s="7">
        <f t="shared" ca="1" si="22"/>
        <v>0.12598617474691634</v>
      </c>
      <c r="F135" s="7">
        <f t="shared" ca="1" si="23"/>
        <v>0.16621869123412919</v>
      </c>
      <c r="G135" s="7">
        <f t="shared" ca="1" si="24"/>
        <v>0.14492135350709878</v>
      </c>
      <c r="H135" s="5">
        <v>129</v>
      </c>
    </row>
    <row r="136" spans="1:11">
      <c r="A136" s="7">
        <f t="shared" ca="1" si="28"/>
        <v>16.460821663574936</v>
      </c>
      <c r="B136" s="7">
        <f t="shared" ref="B136:B150" ca="1" si="29">RAND()*($B$5-$B$4)+$B$4</f>
        <v>0.17722710339468217</v>
      </c>
      <c r="C136" s="7">
        <f t="shared" ref="C136:C150" ca="1" si="30">RAND()*($C$5-$C$4)+$C$4</f>
        <v>0.10565730470397845</v>
      </c>
      <c r="D136" s="7">
        <f t="shared" ref="D136:D150" ca="1" si="31">RAND()*($D$5-$D$4)+$D$4</f>
        <v>0.13782033419145534</v>
      </c>
      <c r="E136" s="7">
        <f t="shared" ref="E136:E150" ca="1" si="32">RAND()*($E$5-$E$4)+$E$4</f>
        <v>0.12003587037541152</v>
      </c>
      <c r="F136" s="7">
        <f t="shared" ref="F136:F150" ca="1" si="33">RAND()*($F$5-$F$4)+$F$4</f>
        <v>0.10412783583730727</v>
      </c>
      <c r="G136" s="7">
        <f t="shared" ref="G136:G150" ca="1" si="34">RAND()*($G$5-$G$4)+$G$4</f>
        <v>0.15567429987863041</v>
      </c>
      <c r="H136">
        <v>130</v>
      </c>
    </row>
    <row r="137" spans="1:11">
      <c r="A137" s="7">
        <f t="shared" ca="1" si="28"/>
        <v>17.590352446482846</v>
      </c>
      <c r="B137" s="7">
        <f t="shared" ca="1" si="29"/>
        <v>0.10651393453847967</v>
      </c>
      <c r="C137" s="7">
        <f t="shared" ca="1" si="30"/>
        <v>0.13899088280110583</v>
      </c>
      <c r="D137" s="7">
        <f t="shared" ca="1" si="31"/>
        <v>0.13904965461919211</v>
      </c>
      <c r="E137" s="7">
        <f t="shared" ca="1" si="32"/>
        <v>0.11825102495195293</v>
      </c>
      <c r="F137" s="7">
        <f t="shared" ca="1" si="33"/>
        <v>0.11722926481926405</v>
      </c>
      <c r="G137" s="7">
        <f t="shared" ca="1" si="34"/>
        <v>0.1318692633838367</v>
      </c>
      <c r="H137" s="5">
        <v>131</v>
      </c>
    </row>
    <row r="138" spans="1:11">
      <c r="A138" s="7">
        <f t="shared" ca="1" si="28"/>
        <v>18.581502650564381</v>
      </c>
      <c r="B138" s="7">
        <f t="shared" ca="1" si="29"/>
        <v>0.1580059244295498</v>
      </c>
      <c r="C138" s="7">
        <f t="shared" ca="1" si="30"/>
        <v>0.11596251401668181</v>
      </c>
      <c r="D138" s="7">
        <f t="shared" ca="1" si="31"/>
        <v>0.18379721496636445</v>
      </c>
      <c r="E138" s="7">
        <f t="shared" ca="1" si="32"/>
        <v>0.14981400032153086</v>
      </c>
      <c r="F138" s="7">
        <f t="shared" ca="1" si="33"/>
        <v>0.11446672169580976</v>
      </c>
      <c r="G138" s="7">
        <f t="shared" ca="1" si="34"/>
        <v>0.1654695595219394</v>
      </c>
      <c r="H138">
        <v>132</v>
      </c>
    </row>
    <row r="139" spans="1:11">
      <c r="A139" s="7">
        <f t="shared" ca="1" si="28"/>
        <v>20.115684456338251</v>
      </c>
      <c r="B139" s="7">
        <f t="shared" ca="1" si="29"/>
        <v>0.14700883916496638</v>
      </c>
      <c r="C139" s="7">
        <f t="shared" ca="1" si="30"/>
        <v>0.13668777183218292</v>
      </c>
      <c r="D139" s="7">
        <f t="shared" ca="1" si="31"/>
        <v>0.18723824154215238</v>
      </c>
      <c r="E139" s="7">
        <f t="shared" ca="1" si="32"/>
        <v>0.11972338905543828</v>
      </c>
      <c r="F139" s="7">
        <f t="shared" ca="1" si="33"/>
        <v>0.1632553178788132</v>
      </c>
      <c r="G139" s="7">
        <f t="shared" ca="1" si="34"/>
        <v>0.1386118803999393</v>
      </c>
      <c r="H139" s="5">
        <v>133</v>
      </c>
    </row>
    <row r="140" spans="1:11">
      <c r="A140" s="7">
        <f t="shared" ca="1" si="28"/>
        <v>12.491901870146883</v>
      </c>
      <c r="B140" s="7">
        <f t="shared" ca="1" si="29"/>
        <v>0.16226283221062496</v>
      </c>
      <c r="C140" s="7">
        <f t="shared" ca="1" si="30"/>
        <v>0.12583977554749584</v>
      </c>
      <c r="D140" s="7">
        <f t="shared" ca="1" si="31"/>
        <v>0.14317906776093334</v>
      </c>
      <c r="E140" s="7">
        <f t="shared" ca="1" si="32"/>
        <v>0.12616264745461758</v>
      </c>
      <c r="F140" s="7">
        <f t="shared" ca="1" si="33"/>
        <v>0.1280998457394163</v>
      </c>
      <c r="G140" s="7">
        <f t="shared" ca="1" si="34"/>
        <v>0.1945467955726389</v>
      </c>
      <c r="H140">
        <v>134</v>
      </c>
    </row>
    <row r="141" spans="1:11">
      <c r="A141" s="7">
        <f t="shared" ca="1" si="28"/>
        <v>20.444242968691412</v>
      </c>
      <c r="B141" s="7">
        <f t="shared" ca="1" si="29"/>
        <v>0.1026088538858739</v>
      </c>
      <c r="C141" s="7">
        <f t="shared" ca="1" si="30"/>
        <v>0.13669998783319526</v>
      </c>
      <c r="D141" s="7">
        <f t="shared" ca="1" si="31"/>
        <v>0.15647271717520866</v>
      </c>
      <c r="E141" s="7">
        <f t="shared" ca="1" si="32"/>
        <v>0.13126859436236524</v>
      </c>
      <c r="F141" s="7">
        <f t="shared" ca="1" si="33"/>
        <v>0.14443234729240423</v>
      </c>
      <c r="G141" s="7">
        <f t="shared" ca="1" si="34"/>
        <v>0.11483512865592838</v>
      </c>
      <c r="H141" s="5">
        <v>135</v>
      </c>
    </row>
    <row r="142" spans="1:11">
      <c r="A142" s="7">
        <f t="shared" ca="1" si="28"/>
        <v>15.863435336388987</v>
      </c>
      <c r="B142" s="7">
        <f t="shared" ca="1" si="29"/>
        <v>0.16820806880693853</v>
      </c>
      <c r="C142" s="7">
        <f t="shared" ca="1" si="30"/>
        <v>0.1025080630688542</v>
      </c>
      <c r="D142" s="7">
        <f t="shared" ca="1" si="31"/>
        <v>0.16131175408755777</v>
      </c>
      <c r="E142" s="7">
        <f t="shared" ca="1" si="32"/>
        <v>0.12253956049798635</v>
      </c>
      <c r="F142" s="7">
        <f t="shared" ca="1" si="33"/>
        <v>0.15262738167834011</v>
      </c>
      <c r="G142" s="7">
        <f t="shared" ca="1" si="34"/>
        <v>0.14465206433795808</v>
      </c>
      <c r="H142">
        <v>136</v>
      </c>
    </row>
    <row r="143" spans="1:11">
      <c r="A143" s="7">
        <f t="shared" ca="1" si="28"/>
        <v>17.996288943886292</v>
      </c>
      <c r="B143" s="7">
        <f t="shared" ca="1" si="29"/>
        <v>0.13383949609406789</v>
      </c>
      <c r="C143" s="7">
        <f t="shared" ca="1" si="30"/>
        <v>0.10872012830729771</v>
      </c>
      <c r="D143" s="7">
        <f t="shared" ca="1" si="31"/>
        <v>0.14386871330563875</v>
      </c>
      <c r="E143" s="7">
        <f t="shared" ca="1" si="32"/>
        <v>0.13010956733347706</v>
      </c>
      <c r="F143" s="7">
        <f t="shared" ca="1" si="33"/>
        <v>0.10889070154710695</v>
      </c>
      <c r="G143" s="7">
        <f t="shared" ca="1" si="34"/>
        <v>0.20353234800204273</v>
      </c>
      <c r="H143" s="5">
        <v>137</v>
      </c>
    </row>
    <row r="144" spans="1:11">
      <c r="A144" s="7">
        <f t="shared" ca="1" si="28"/>
        <v>19.852813595223967</v>
      </c>
      <c r="B144" s="7">
        <f t="shared" ca="1" si="29"/>
        <v>0.16694229740387173</v>
      </c>
      <c r="C144" s="7">
        <f t="shared" ca="1" si="30"/>
        <v>0.13679326282044404</v>
      </c>
      <c r="D144" s="7">
        <f t="shared" ca="1" si="31"/>
        <v>0.11469723643622967</v>
      </c>
      <c r="E144" s="7">
        <f t="shared" ca="1" si="32"/>
        <v>0.11269882839611597</v>
      </c>
      <c r="F144" s="7">
        <f t="shared" ca="1" si="33"/>
        <v>0.14419284329853965</v>
      </c>
      <c r="G144" s="7">
        <f t="shared" ca="1" si="34"/>
        <v>0.12967569918511063</v>
      </c>
      <c r="H144">
        <v>138</v>
      </c>
    </row>
    <row r="145" spans="1:8">
      <c r="A145" s="7">
        <f t="shared" ca="1" si="28"/>
        <v>18.870169273298</v>
      </c>
      <c r="B145" s="7">
        <f t="shared" ca="1" si="29"/>
        <v>0.10474836510780976</v>
      </c>
      <c r="C145" s="7">
        <f t="shared" ca="1" si="30"/>
        <v>0.13134157338918184</v>
      </c>
      <c r="D145" s="7">
        <f t="shared" ca="1" si="31"/>
        <v>0.14429712647545026</v>
      </c>
      <c r="E145" s="7">
        <f t="shared" ca="1" si="32"/>
        <v>0.1431136035492796</v>
      </c>
      <c r="F145" s="7">
        <f t="shared" ca="1" si="33"/>
        <v>0.11445256433914067</v>
      </c>
      <c r="G145" s="7">
        <f t="shared" ca="1" si="34"/>
        <v>0.18556841118934356</v>
      </c>
      <c r="H145" s="5">
        <v>139</v>
      </c>
    </row>
    <row r="146" spans="1:8">
      <c r="A146" s="7">
        <f t="shared" ca="1" si="28"/>
        <v>14.349801131321803</v>
      </c>
      <c r="B146" s="7">
        <f t="shared" ca="1" si="29"/>
        <v>0.14266150278585629</v>
      </c>
      <c r="C146" s="7">
        <f t="shared" ca="1" si="30"/>
        <v>0.13977073062193435</v>
      </c>
      <c r="D146" s="7">
        <f t="shared" ca="1" si="31"/>
        <v>0.14862475405858488</v>
      </c>
      <c r="E146" s="7">
        <f t="shared" ca="1" si="32"/>
        <v>0.14585289210838448</v>
      </c>
      <c r="F146" s="7">
        <f t="shared" ca="1" si="33"/>
        <v>0.13962889209673363</v>
      </c>
      <c r="G146" s="7">
        <f t="shared" ca="1" si="34"/>
        <v>0.13370318139967824</v>
      </c>
      <c r="H146">
        <v>140</v>
      </c>
    </row>
    <row r="147" spans="1:8">
      <c r="A147" s="7">
        <f t="shared" ca="1" si="28"/>
        <v>19.799831427903499</v>
      </c>
      <c r="B147" s="7">
        <f t="shared" ca="1" si="29"/>
        <v>0.15347435142372071</v>
      </c>
      <c r="C147" s="7">
        <f t="shared" ca="1" si="30"/>
        <v>0.12235961761185382</v>
      </c>
      <c r="D147" s="7">
        <f t="shared" ca="1" si="31"/>
        <v>0.10560489968771199</v>
      </c>
      <c r="E147" s="7">
        <f t="shared" ca="1" si="32"/>
        <v>0.1230629633806897</v>
      </c>
      <c r="F147" s="7">
        <f t="shared" ca="1" si="33"/>
        <v>0.16161327461023808</v>
      </c>
      <c r="G147" s="7">
        <f t="shared" ca="1" si="34"/>
        <v>0.13653061591612392</v>
      </c>
      <c r="H147" s="5">
        <v>141</v>
      </c>
    </row>
    <row r="148" spans="1:8">
      <c r="A148" s="7">
        <f t="shared" ca="1" si="28"/>
        <v>12.474462219445071</v>
      </c>
      <c r="B148" s="7">
        <f t="shared" ca="1" si="29"/>
        <v>0.15850911846071397</v>
      </c>
      <c r="C148" s="7">
        <f t="shared" ca="1" si="30"/>
        <v>0.10549265621644757</v>
      </c>
      <c r="D148" s="7">
        <f t="shared" ca="1" si="31"/>
        <v>0.16791684797505751</v>
      </c>
      <c r="E148" s="7">
        <f t="shared" ca="1" si="32"/>
        <v>0.13076127170092711</v>
      </c>
      <c r="F148" s="7">
        <f t="shared" ca="1" si="33"/>
        <v>0.14916503802723252</v>
      </c>
      <c r="G148" s="7">
        <f t="shared" ca="1" si="34"/>
        <v>0.17051894784672939</v>
      </c>
      <c r="H148">
        <v>142</v>
      </c>
    </row>
    <row r="149" spans="1:8">
      <c r="A149" s="7">
        <f t="shared" ca="1" si="28"/>
        <v>13.251620117905103</v>
      </c>
      <c r="B149" s="7">
        <f t="shared" ca="1" si="29"/>
        <v>0.12859353511158653</v>
      </c>
      <c r="C149" s="7">
        <f t="shared" ca="1" si="30"/>
        <v>0.133475260924099</v>
      </c>
      <c r="D149" s="7">
        <f t="shared" ca="1" si="31"/>
        <v>0.12739185064520656</v>
      </c>
      <c r="E149" s="7">
        <f t="shared" ca="1" si="32"/>
        <v>0.12709260822107016</v>
      </c>
      <c r="F149" s="7">
        <f t="shared" ca="1" si="33"/>
        <v>0.1243219363190345</v>
      </c>
      <c r="G149" s="7">
        <f t="shared" ca="1" si="34"/>
        <v>0.20615885141508583</v>
      </c>
      <c r="H149" s="5">
        <v>143</v>
      </c>
    </row>
    <row r="150" spans="1:8">
      <c r="A150" s="7">
        <f t="shared" ca="1" si="28"/>
        <v>12.051989323328375</v>
      </c>
      <c r="B150" s="7">
        <f t="shared" ca="1" si="29"/>
        <v>0.10833488852125314</v>
      </c>
      <c r="C150" s="7">
        <f t="shared" ca="1" si="30"/>
        <v>0.12416032209452496</v>
      </c>
      <c r="D150" s="7">
        <f t="shared" ca="1" si="31"/>
        <v>0.17819228217036609</v>
      </c>
      <c r="E150" s="7">
        <f t="shared" ca="1" si="32"/>
        <v>0.14058434856624363</v>
      </c>
      <c r="F150" s="7">
        <f t="shared" ca="1" si="33"/>
        <v>0.1193364110916228</v>
      </c>
      <c r="G150" s="7">
        <f t="shared" ca="1" si="34"/>
        <v>0.2088703284373758</v>
      </c>
      <c r="H150">
        <v>144</v>
      </c>
    </row>
    <row r="151" spans="1:8">
      <c r="A151" s="5"/>
      <c r="B151" s="5"/>
      <c r="C151" s="5"/>
      <c r="D151" s="5"/>
      <c r="E151" s="5"/>
      <c r="F151" s="5"/>
      <c r="G151" s="5"/>
    </row>
    <row r="152" spans="1:8">
      <c r="A152" s="5"/>
      <c r="B152" s="5"/>
      <c r="C152" s="5"/>
      <c r="D152" s="5"/>
      <c r="E152" s="5"/>
      <c r="F152" s="5"/>
      <c r="G152" s="5"/>
    </row>
    <row r="153" spans="1:8">
      <c r="A153" s="5"/>
      <c r="B153" s="5"/>
      <c r="C153" s="5"/>
      <c r="D153" s="5"/>
      <c r="E153" s="5"/>
      <c r="F153" s="5"/>
      <c r="G153" s="5"/>
    </row>
    <row r="154" spans="1:8">
      <c r="A154" s="5"/>
      <c r="B154" s="5"/>
      <c r="C154" s="5"/>
      <c r="D154" s="5"/>
      <c r="E154" s="5"/>
      <c r="F154" s="5"/>
      <c r="G154" s="5"/>
    </row>
    <row r="155" spans="1:8">
      <c r="A155" s="5"/>
      <c r="B155" s="5"/>
      <c r="C155" s="5"/>
      <c r="D155" s="5"/>
      <c r="E155" s="5"/>
      <c r="F155" s="5"/>
      <c r="G155" s="5"/>
    </row>
    <row r="156" spans="1:8">
      <c r="A156" s="5"/>
      <c r="B156" s="5"/>
      <c r="C156" s="5"/>
      <c r="D156" s="5"/>
      <c r="E156" s="5"/>
      <c r="F156" s="5"/>
      <c r="G156" s="5"/>
    </row>
    <row r="157" spans="1:8">
      <c r="A157" s="5"/>
      <c r="B157" s="5"/>
      <c r="C157" s="5"/>
      <c r="D157" s="5"/>
      <c r="E157" s="5"/>
      <c r="F157" s="5"/>
      <c r="G157" s="5"/>
    </row>
    <row r="158" spans="1:8">
      <c r="A158" s="5"/>
      <c r="B158" s="5"/>
      <c r="C158" s="5"/>
      <c r="D158" s="5"/>
      <c r="E158" s="5"/>
      <c r="F158" s="5"/>
      <c r="G158" s="5"/>
    </row>
    <row r="159" spans="1:8">
      <c r="A159" s="5"/>
      <c r="B159" s="5"/>
      <c r="C159" s="5"/>
      <c r="D159" s="5"/>
      <c r="E159" s="5"/>
      <c r="F159" s="5"/>
      <c r="G159" s="5"/>
    </row>
    <row r="160" spans="1:8">
      <c r="A160" s="5"/>
      <c r="B160" s="5"/>
      <c r="C160" s="5"/>
      <c r="D160" s="5"/>
      <c r="E160" s="5"/>
      <c r="F160" s="5"/>
      <c r="G160" s="5"/>
    </row>
    <row r="161" spans="1:7">
      <c r="A161" s="5"/>
      <c r="B161" s="5"/>
      <c r="C161" s="5"/>
      <c r="D161" s="5"/>
      <c r="E161" s="5"/>
      <c r="F161" s="5"/>
      <c r="G161" s="5"/>
    </row>
    <row r="162" spans="1:7">
      <c r="A162" s="5"/>
      <c r="B162" s="5"/>
      <c r="C162" s="5"/>
      <c r="D162" s="5"/>
      <c r="E162" s="5"/>
      <c r="F162" s="5"/>
      <c r="G162" s="5"/>
    </row>
    <row r="163" spans="1:7">
      <c r="A163" s="5"/>
      <c r="B163" s="5"/>
      <c r="C163" s="5"/>
      <c r="D163" s="5"/>
      <c r="E163" s="5"/>
      <c r="F163" s="5"/>
      <c r="G163" s="5"/>
    </row>
    <row r="164" spans="1:7">
      <c r="A164" s="5"/>
      <c r="B164" s="5"/>
      <c r="C164" s="5"/>
      <c r="D164" s="5"/>
      <c r="E164" s="5"/>
      <c r="F164" s="5"/>
      <c r="G164" s="5"/>
    </row>
    <row r="165" spans="1:7">
      <c r="A165" s="5"/>
      <c r="B165" s="5"/>
      <c r="C165" s="5"/>
      <c r="D165" s="5"/>
      <c r="E165" s="5"/>
      <c r="F165" s="5"/>
      <c r="G165" s="5"/>
    </row>
    <row r="166" spans="1:7">
      <c r="A166" s="5"/>
      <c r="B166" s="5"/>
      <c r="C166" s="5"/>
      <c r="D166" s="5"/>
      <c r="E166" s="5"/>
      <c r="F166" s="5"/>
      <c r="G166" s="5"/>
    </row>
    <row r="167" spans="1:7">
      <c r="A167" s="5"/>
      <c r="B167" s="5"/>
      <c r="C167" s="5"/>
      <c r="D167" s="5"/>
      <c r="E167" s="5"/>
      <c r="F167" s="5"/>
      <c r="G167" s="5"/>
    </row>
    <row r="168" spans="1:7">
      <c r="A168" s="5"/>
      <c r="B168" s="5"/>
      <c r="C168" s="5"/>
      <c r="D168" s="5"/>
      <c r="E168" s="5"/>
      <c r="F168" s="5"/>
      <c r="G168" s="5"/>
    </row>
    <row r="169" spans="1:7">
      <c r="A169" s="5"/>
      <c r="B169" s="5"/>
      <c r="C169" s="5"/>
      <c r="D169" s="5"/>
      <c r="E169" s="5"/>
      <c r="F169" s="5"/>
      <c r="G169" s="5"/>
    </row>
    <row r="170" spans="1:7">
      <c r="A170" s="5"/>
      <c r="B170" s="5"/>
      <c r="C170" s="5"/>
      <c r="D170" s="5"/>
      <c r="E170" s="5"/>
      <c r="F170" s="5"/>
      <c r="G170" s="5"/>
    </row>
    <row r="171" spans="1:7">
      <c r="A171" s="5"/>
      <c r="B171" s="5"/>
      <c r="C171" s="5"/>
      <c r="D171" s="5"/>
      <c r="E171" s="5"/>
      <c r="F171" s="5"/>
      <c r="G171" s="5"/>
    </row>
    <row r="172" spans="1:7">
      <c r="A172" s="5"/>
      <c r="B172" s="5"/>
      <c r="C172" s="5"/>
      <c r="D172" s="5"/>
      <c r="E172" s="5"/>
      <c r="F172" s="5"/>
      <c r="G172" s="5"/>
    </row>
    <row r="173" spans="1:7">
      <c r="A173" s="5"/>
      <c r="B173" s="5"/>
      <c r="C173" s="5"/>
      <c r="D173" s="5"/>
      <c r="E173" s="5"/>
      <c r="F173" s="5"/>
      <c r="G173" s="5"/>
    </row>
    <row r="174" spans="1:7">
      <c r="A174" s="5"/>
      <c r="B174" s="5"/>
      <c r="C174" s="5"/>
      <c r="D174" s="5"/>
      <c r="E174" s="5"/>
      <c r="F174" s="5"/>
      <c r="G174" s="5"/>
    </row>
    <row r="175" spans="1:7">
      <c r="A175" s="5"/>
      <c r="B175" s="5"/>
      <c r="C175" s="5"/>
      <c r="D175" s="5"/>
      <c r="E175" s="5"/>
      <c r="F175" s="5"/>
      <c r="G175" s="5"/>
    </row>
    <row r="176" spans="1:7">
      <c r="A176" s="5"/>
      <c r="B176" s="5"/>
      <c r="C176" s="5"/>
      <c r="D176" s="5"/>
      <c r="E176" s="5"/>
      <c r="F176" s="5"/>
      <c r="G176" s="5"/>
    </row>
    <row r="177" spans="1:7">
      <c r="A177" s="5"/>
      <c r="B177" s="5"/>
      <c r="C177" s="5"/>
      <c r="D177" s="5"/>
      <c r="E177" s="5"/>
      <c r="F177" s="5"/>
      <c r="G177" s="5"/>
    </row>
    <row r="178" spans="1:7">
      <c r="A178" s="5"/>
      <c r="B178" s="5"/>
      <c r="C178" s="5"/>
      <c r="D178" s="5"/>
      <c r="E178" s="5"/>
      <c r="F178" s="5"/>
      <c r="G178" s="5"/>
    </row>
    <row r="179" spans="1:7">
      <c r="A179" s="5"/>
      <c r="B179" s="5"/>
      <c r="C179" s="5"/>
      <c r="D179" s="5"/>
      <c r="E179" s="5"/>
      <c r="F179" s="5"/>
      <c r="G179" s="5"/>
    </row>
    <row r="180" spans="1:7">
      <c r="A180" s="5"/>
      <c r="B180" s="5"/>
      <c r="C180" s="5"/>
      <c r="D180" s="5"/>
      <c r="E180" s="5"/>
      <c r="F180" s="5"/>
      <c r="G180" s="5"/>
    </row>
    <row r="181" spans="1:7">
      <c r="A181" s="5"/>
      <c r="B181" s="5"/>
      <c r="C181" s="5"/>
      <c r="D181" s="5"/>
      <c r="E181" s="5"/>
      <c r="F181" s="5"/>
      <c r="G181" s="5"/>
    </row>
    <row r="182" spans="1:7">
      <c r="A182" s="5"/>
      <c r="B182" s="5"/>
      <c r="C182" s="5"/>
      <c r="D182" s="5"/>
      <c r="E182" s="5"/>
      <c r="F182" s="5"/>
      <c r="G18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404D-FD7A-4CD4-A433-3336E104AACB}">
  <dimension ref="A1:AE178"/>
  <sheetViews>
    <sheetView topLeftCell="A40" workbookViewId="0">
      <selection activeCell="B110" sqref="B56:B110"/>
    </sheetView>
  </sheetViews>
  <sheetFormatPr defaultRowHeight="15"/>
  <cols>
    <col min="3" max="3" width="11" bestFit="1" customWidth="1"/>
    <col min="9" max="9" width="19" customWidth="1"/>
    <col min="10" max="10" width="10.28515625" customWidth="1"/>
    <col min="11" max="11" width="8.5703125" customWidth="1"/>
    <col min="12" max="12" width="9" customWidth="1"/>
    <col min="13" max="13" width="10.28515625" customWidth="1"/>
    <col min="14" max="14" width="8.5703125" customWidth="1"/>
    <col min="15" max="15" width="9" customWidth="1"/>
    <col min="16" max="16" width="2.7109375" customWidth="1"/>
    <col min="17" max="23" width="6.42578125" customWidth="1"/>
  </cols>
  <sheetData>
    <row r="1" spans="1:8" ht="15.75">
      <c r="A1" s="42">
        <v>110</v>
      </c>
      <c r="B1" s="7">
        <f t="shared" ref="B1:B64" ca="1" si="0">0.1 + (0.21-0.1) * _xlfn.BETA.INV(RAND(), 3, 5.916)</f>
        <v>0.13013085085462336</v>
      </c>
      <c r="C1" s="7">
        <f t="shared" ref="C1:C60" ca="1" si="1">ROUND(B1,2)</f>
        <v>0.13</v>
      </c>
      <c r="D1" s="7" t="str">
        <f ca="1">CONCATENATE(C1, "; ", C2, "; ", C3, "; ", 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0,13; 0,15; 0,13; 0,11; 0,12; 0,11; 0,16; 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1" s="35"/>
      <c r="F1" s="35"/>
      <c r="G1" s="35"/>
      <c r="H1" s="1"/>
    </row>
    <row r="2" spans="1:8" ht="15.75">
      <c r="A2">
        <v>109</v>
      </c>
      <c r="B2" s="7">
        <f t="shared" ca="1" si="0"/>
        <v>0.14699145489055743</v>
      </c>
      <c r="C2" s="7">
        <f t="shared" ca="1" si="1"/>
        <v>0.15</v>
      </c>
      <c r="D2" s="7" t="str">
        <f ca="1">CONCATENATE(C2, "; ", C3, "; ", 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C64)</f>
        <v>0,15; 0,13; 0,11; 0,12; 0,11; 0,16; 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</v>
      </c>
      <c r="E2" s="35"/>
      <c r="F2" s="35"/>
      <c r="G2" s="35"/>
      <c r="H2" s="1"/>
    </row>
    <row r="3" spans="1:8" ht="15.75">
      <c r="A3" s="42">
        <v>108</v>
      </c>
      <c r="B3" s="7">
        <f t="shared" ca="1" si="0"/>
        <v>0.12724537057816437</v>
      </c>
      <c r="C3" s="7">
        <f t="shared" ca="1" si="1"/>
        <v>0.13</v>
      </c>
      <c r="D3" s="7" t="str">
        <f ca="1">CONCATENATE(C3, "; ", 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0,13; 0,11; 0,12; 0,11; 0,16; 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3" s="35"/>
      <c r="F3" s="35"/>
      <c r="G3" s="35"/>
      <c r="H3" s="1"/>
    </row>
    <row r="4" spans="1:8" ht="15.75">
      <c r="A4">
        <v>107</v>
      </c>
      <c r="B4" s="7">
        <f t="shared" ca="1" si="0"/>
        <v>0.11461219289335875</v>
      </c>
      <c r="C4" s="7">
        <f t="shared" ca="1" si="1"/>
        <v>0.11</v>
      </c>
      <c r="D4" s="7" t="str">
        <f ca="1">CONCATENATE(C4, "; ", 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C66)</f>
        <v>0,11; 0,12; 0,11; 0,16; 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</v>
      </c>
      <c r="E4" s="35"/>
      <c r="F4" s="35"/>
      <c r="G4" s="35"/>
      <c r="H4" s="1"/>
    </row>
    <row r="5" spans="1:8" ht="15.75">
      <c r="A5">
        <v>106</v>
      </c>
      <c r="B5" s="7">
        <f t="shared" ca="1" si="0"/>
        <v>0.12432052011885775</v>
      </c>
      <c r="C5" s="7">
        <f t="shared" ca="1" si="1"/>
        <v>0.12</v>
      </c>
      <c r="D5" s="7" t="str">
        <f ca="1">CONCATENATE(C5, "; ", 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C67)</f>
        <v>0,12; 0,11; 0,16; 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</v>
      </c>
      <c r="E5" s="35"/>
      <c r="F5" s="35"/>
      <c r="G5" s="35"/>
      <c r="H5" s="1"/>
    </row>
    <row r="6" spans="1:8" ht="15.75">
      <c r="A6" s="42">
        <v>105</v>
      </c>
      <c r="B6" s="7">
        <f t="shared" ca="1" si="0"/>
        <v>0.11436736292922943</v>
      </c>
      <c r="C6" s="7">
        <f t="shared" ca="1" si="1"/>
        <v>0.11</v>
      </c>
      <c r="D6" s="7" t="str">
        <f ca="1">CONCATENATE(C6, "; ", 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0,11; 0,16; 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6" s="35"/>
      <c r="F6" s="35"/>
      <c r="G6" s="35"/>
      <c r="H6" s="1"/>
    </row>
    <row r="7" spans="1:8" ht="15.75">
      <c r="A7">
        <v>104</v>
      </c>
      <c r="B7" s="7">
        <f t="shared" ca="1" si="0"/>
        <v>0.16133180560385429</v>
      </c>
      <c r="C7" s="7">
        <f t="shared" ca="1" si="1"/>
        <v>0.16</v>
      </c>
      <c r="D7" s="7" t="str">
        <f ca="1">CONCATENATE(C7, "; ", 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C69)</f>
        <v>0,16; 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</v>
      </c>
      <c r="E7" s="35"/>
      <c r="F7" s="35"/>
      <c r="G7" s="35"/>
      <c r="H7" s="1"/>
    </row>
    <row r="8" spans="1:8" ht="15.75">
      <c r="A8">
        <v>103</v>
      </c>
      <c r="B8" s="7">
        <f t="shared" ca="1" si="0"/>
        <v>0.12961512213769916</v>
      </c>
      <c r="C8" s="7">
        <f t="shared" ca="1" si="1"/>
        <v>0.13</v>
      </c>
      <c r="D8" s="7" t="str">
        <f ca="1">CONCATENATE(C8, "; ", 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C70)</f>
        <v>0,13; 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</v>
      </c>
      <c r="E8" s="35"/>
      <c r="F8" s="35"/>
      <c r="G8" s="35"/>
      <c r="H8" s="1"/>
    </row>
    <row r="9" spans="1:8" ht="15.75">
      <c r="A9">
        <v>102</v>
      </c>
      <c r="B9" s="7">
        <f t="shared" ca="1" si="0"/>
        <v>0.15515789566703245</v>
      </c>
      <c r="C9" s="7">
        <f t="shared" ca="1" si="1"/>
        <v>0.16</v>
      </c>
      <c r="D9" s="7" t="str">
        <f ca="1">CONCATENATE(C9, "; ", 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C71)</f>
        <v>0,16; 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</v>
      </c>
      <c r="E9" s="35"/>
      <c r="F9" s="35"/>
      <c r="G9" s="35"/>
      <c r="H9" s="1"/>
    </row>
    <row r="10" spans="1:8" ht="15.75">
      <c r="A10">
        <v>101</v>
      </c>
      <c r="B10" s="7">
        <f t="shared" ca="1" si="0"/>
        <v>0.12972218761678472</v>
      </c>
      <c r="C10" s="7">
        <f t="shared" ca="1" si="1"/>
        <v>0.13</v>
      </c>
      <c r="D10" s="7" t="str">
        <f ca="1">CONCATENATE(C10, "; ", 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C72)</f>
        <v>0,13; 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</v>
      </c>
      <c r="E10" s="35"/>
      <c r="F10" s="35"/>
      <c r="G10" s="35"/>
      <c r="H10" s="1"/>
    </row>
    <row r="11" spans="1:8" ht="15.75">
      <c r="A11" s="42">
        <v>100</v>
      </c>
      <c r="B11" s="7">
        <f t="shared" ca="1" si="0"/>
        <v>0.15223833480933874</v>
      </c>
      <c r="C11" s="7">
        <f t="shared" ca="1" si="1"/>
        <v>0.15</v>
      </c>
      <c r="D11" s="7" t="str">
        <f ca="1">CONCATENATE(C11, "; ", 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0,15; 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11" s="35"/>
      <c r="F11" s="35"/>
      <c r="G11" s="35"/>
      <c r="H11" s="1"/>
    </row>
    <row r="12" spans="1:8" ht="15.75">
      <c r="A12">
        <v>99</v>
      </c>
      <c r="B12" s="7">
        <f t="shared" ca="1" si="0"/>
        <v>0.13297629713275899</v>
      </c>
      <c r="C12" s="7">
        <f t="shared" ca="1" si="1"/>
        <v>0.13</v>
      </c>
      <c r="D12" s="7" t="str">
        <f ca="1">CONCATENATE(C12, "; ", 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C74)</f>
        <v>0,13; 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</v>
      </c>
      <c r="E12" s="35"/>
      <c r="F12" s="35"/>
      <c r="G12" s="35"/>
      <c r="H12" s="1"/>
    </row>
    <row r="13" spans="1:8" ht="15.75">
      <c r="A13">
        <v>98</v>
      </c>
      <c r="B13" s="7">
        <f t="shared" ca="1" si="0"/>
        <v>0.15854139248613086</v>
      </c>
      <c r="C13" s="7">
        <f t="shared" ca="1" si="1"/>
        <v>0.16</v>
      </c>
      <c r="D13" s="7" t="str">
        <f ca="1">CONCATENATE(C13, "; ", 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C75)</f>
        <v>0,16; 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</v>
      </c>
      <c r="E13" s="35"/>
      <c r="F13" s="35"/>
      <c r="G13" s="35"/>
      <c r="H13" s="1"/>
    </row>
    <row r="14" spans="1:8" ht="15.75">
      <c r="A14">
        <v>97</v>
      </c>
      <c r="B14" s="7">
        <f t="shared" ca="1" si="0"/>
        <v>0.1329896072501279</v>
      </c>
      <c r="C14" s="7">
        <f t="shared" ca="1" si="1"/>
        <v>0.13</v>
      </c>
      <c r="D14" s="7" t="str">
        <f ca="1">CONCATENATE(C14, "; ", 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C76)</f>
        <v>0,13; 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</v>
      </c>
      <c r="E14" s="35"/>
      <c r="F14" s="35"/>
      <c r="G14" s="35"/>
      <c r="H14" s="1"/>
    </row>
    <row r="15" spans="1:8" ht="15.75">
      <c r="A15">
        <v>96</v>
      </c>
      <c r="B15" s="7">
        <f t="shared" ca="1" si="0"/>
        <v>0.15339380558745691</v>
      </c>
      <c r="C15" s="7">
        <f t="shared" ca="1" si="1"/>
        <v>0.15</v>
      </c>
      <c r="D15" s="7" t="str">
        <f ca="1">CONCATENATE(C15, "; ", 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C77)</f>
        <v>0,15; 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</v>
      </c>
      <c r="E15" s="35"/>
      <c r="F15" s="35"/>
      <c r="G15" s="35"/>
      <c r="H15" s="1"/>
    </row>
    <row r="16" spans="1:8" ht="15.75">
      <c r="A16" s="42">
        <v>95</v>
      </c>
      <c r="B16" s="7">
        <f t="shared" ca="1" si="0"/>
        <v>0.15099136091421317</v>
      </c>
      <c r="C16" s="7">
        <f t="shared" ca="1" si="1"/>
        <v>0.15</v>
      </c>
      <c r="D16" s="7" t="str">
        <f ca="1">CONCATENATE(C16, "; ", 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0,15; 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16" s="35"/>
      <c r="F16" s="35"/>
      <c r="G16" s="35"/>
      <c r="H16" s="1"/>
    </row>
    <row r="17" spans="1:8" ht="15.75">
      <c r="A17">
        <v>94</v>
      </c>
      <c r="B17" s="7">
        <f t="shared" ca="1" si="0"/>
        <v>0.13173545417128771</v>
      </c>
      <c r="C17" s="7">
        <f t="shared" ca="1" si="1"/>
        <v>0.13</v>
      </c>
      <c r="D17" s="7" t="str">
        <f ca="1">CONCATENATE(C17, "; ", 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C79)</f>
        <v>0,13; 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</v>
      </c>
      <c r="E17" s="35"/>
      <c r="F17" s="35"/>
      <c r="G17" s="35"/>
      <c r="H17" s="1"/>
    </row>
    <row r="18" spans="1:8" ht="15.75">
      <c r="A18">
        <v>93</v>
      </c>
      <c r="B18" s="7">
        <f t="shared" ca="1" si="0"/>
        <v>0.13222084161483338</v>
      </c>
      <c r="C18" s="7">
        <f t="shared" ca="1" si="1"/>
        <v>0.13</v>
      </c>
      <c r="D18" s="7" t="str">
        <f ca="1">CONCATENATE(C18, "; ", 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C80)</f>
        <v>0,13; 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</v>
      </c>
      <c r="E18" s="35"/>
      <c r="F18" s="35"/>
      <c r="G18" s="35"/>
      <c r="H18" s="1"/>
    </row>
    <row r="19" spans="1:8" ht="15.75">
      <c r="A19">
        <v>92</v>
      </c>
      <c r="B19" s="7">
        <f t="shared" ca="1" si="0"/>
        <v>0.1571390665225158</v>
      </c>
      <c r="C19" s="7">
        <f t="shared" ca="1" si="1"/>
        <v>0.16</v>
      </c>
      <c r="D19" s="7" t="str">
        <f ca="1">CONCATENATE(C19, "; ", 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C81)</f>
        <v>0,16; 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</v>
      </c>
      <c r="E19" s="35"/>
      <c r="F19" s="35"/>
      <c r="G19" s="35"/>
      <c r="H19" s="1"/>
    </row>
    <row r="20" spans="1:8" ht="15.75">
      <c r="A20">
        <v>91</v>
      </c>
      <c r="B20" s="7">
        <f t="shared" ca="1" si="0"/>
        <v>0.11740546809848905</v>
      </c>
      <c r="C20" s="7">
        <f t="shared" ca="1" si="1"/>
        <v>0.12</v>
      </c>
      <c r="D20" s="7" t="str">
        <f ca="1">CONCATENATE(C20, "; ", 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C82)</f>
        <v>0,12; 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</v>
      </c>
      <c r="E20" s="35"/>
      <c r="F20" s="35"/>
      <c r="G20" s="35"/>
      <c r="H20" s="1"/>
    </row>
    <row r="21" spans="1:8" ht="15.75">
      <c r="A21" s="42">
        <v>90</v>
      </c>
      <c r="B21" s="7">
        <f t="shared" ca="1" si="0"/>
        <v>0.15833440567669615</v>
      </c>
      <c r="C21" s="7">
        <f t="shared" ca="1" si="1"/>
        <v>0.16</v>
      </c>
      <c r="D21" s="7" t="str">
        <f ca="1">CONCATENATE(C21, "; ", 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0,16; 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21" s="35"/>
      <c r="F21" s="35"/>
      <c r="G21" s="35"/>
      <c r="H21" s="1"/>
    </row>
    <row r="22" spans="1:8" ht="15.75">
      <c r="A22">
        <v>89</v>
      </c>
      <c r="B22" s="7">
        <f t="shared" ca="1" si="0"/>
        <v>0.15443719332263212</v>
      </c>
      <c r="C22" s="7">
        <f t="shared" ca="1" si="1"/>
        <v>0.15</v>
      </c>
      <c r="D22" s="7" t="str">
        <f ca="1">CONCATENATE(C22, "; ", 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C84)</f>
        <v>0,15; 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</v>
      </c>
      <c r="E22" s="35"/>
      <c r="F22" s="35"/>
      <c r="G22" s="35"/>
      <c r="H22" s="1"/>
    </row>
    <row r="23" spans="1:8" ht="15.75">
      <c r="A23">
        <v>88</v>
      </c>
      <c r="B23" s="7">
        <f t="shared" ca="1" si="0"/>
        <v>0.15189844362937141</v>
      </c>
      <c r="C23" s="7">
        <f t="shared" ca="1" si="1"/>
        <v>0.15</v>
      </c>
      <c r="D23" s="7" t="str">
        <f ca="1">CONCATENATE(C23, "; ", 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C85)</f>
        <v>0,15; 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</v>
      </c>
      <c r="E23" s="35"/>
      <c r="F23" s="35"/>
      <c r="G23" s="35"/>
      <c r="H23" s="1"/>
    </row>
    <row r="24" spans="1:8" ht="15.75">
      <c r="A24">
        <v>87</v>
      </c>
      <c r="B24" s="7">
        <f t="shared" ca="1" si="0"/>
        <v>0.16075458843012916</v>
      </c>
      <c r="C24" s="7">
        <f t="shared" ca="1" si="1"/>
        <v>0.16</v>
      </c>
      <c r="D24" s="7" t="str">
        <f ca="1">CONCATENATE(C24, "; ", 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C86)</f>
        <v>0,16; 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</v>
      </c>
      <c r="E24" s="35"/>
      <c r="F24" s="35"/>
      <c r="G24" s="35"/>
      <c r="H24" s="1"/>
    </row>
    <row r="25" spans="1:8" ht="15.75">
      <c r="A25">
        <v>86</v>
      </c>
      <c r="B25" s="7">
        <f t="shared" ca="1" si="0"/>
        <v>0.12176233995665169</v>
      </c>
      <c r="C25" s="7">
        <f t="shared" ca="1" si="1"/>
        <v>0.12</v>
      </c>
      <c r="D25" s="7" t="str">
        <f ca="1">CONCATENATE(C25, "; ", 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C87)</f>
        <v>0,12; 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</v>
      </c>
      <c r="E25" s="35"/>
      <c r="F25" s="35"/>
      <c r="G25" s="35"/>
      <c r="H25" s="1"/>
    </row>
    <row r="26" spans="1:8" ht="15.75">
      <c r="A26" s="42">
        <v>85</v>
      </c>
      <c r="B26" s="7">
        <f t="shared" ca="1" si="0"/>
        <v>0.16377658063150158</v>
      </c>
      <c r="C26" s="7">
        <f t="shared" ca="1" si="1"/>
        <v>0.16</v>
      </c>
      <c r="D26" s="7" t="str">
        <f ca="1">CONCATENATE(C26, "; ", 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0,16; 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26" s="35"/>
      <c r="F26" s="35"/>
      <c r="G26" s="35"/>
      <c r="H26" s="1"/>
    </row>
    <row r="27" spans="1:8" ht="15.75">
      <c r="A27">
        <v>84</v>
      </c>
      <c r="B27" s="7">
        <f t="shared" ca="1" si="0"/>
        <v>0.13604955882628456</v>
      </c>
      <c r="C27" s="7">
        <f t="shared" ca="1" si="1"/>
        <v>0.14000000000000001</v>
      </c>
      <c r="D27" s="7" t="str">
        <f ca="1">CONCATENATE(C27, "; ", 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C89)</f>
        <v>0,14; 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</v>
      </c>
      <c r="E27" s="35"/>
      <c r="F27" s="35"/>
      <c r="G27" s="35"/>
      <c r="H27" s="1"/>
    </row>
    <row r="28" spans="1:8" ht="15.75">
      <c r="A28">
        <v>83</v>
      </c>
      <c r="B28" s="7">
        <f t="shared" ca="1" si="0"/>
        <v>0.13728354270896376</v>
      </c>
      <c r="C28" s="7">
        <f t="shared" ca="1" si="1"/>
        <v>0.14000000000000001</v>
      </c>
      <c r="D28" s="7" t="str">
        <f ca="1">CONCATENATE(C28, "; ", 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C90)</f>
        <v>0,14; 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</v>
      </c>
      <c r="E28" s="35"/>
      <c r="F28" s="35"/>
      <c r="G28" s="35"/>
      <c r="H28" s="1"/>
    </row>
    <row r="29" spans="1:8" ht="15.75">
      <c r="A29">
        <v>82</v>
      </c>
      <c r="B29" s="7">
        <f t="shared" ca="1" si="0"/>
        <v>0.15588262706267303</v>
      </c>
      <c r="C29" s="7">
        <f t="shared" ca="1" si="1"/>
        <v>0.16</v>
      </c>
      <c r="D29" s="7" t="str">
        <f ca="1">CONCATENATE(C29, "; ", 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C91)</f>
        <v>0,16; 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</v>
      </c>
      <c r="E29" s="35"/>
      <c r="F29" s="35"/>
      <c r="G29" s="35"/>
      <c r="H29" s="1"/>
    </row>
    <row r="30" spans="1:8" ht="15.75">
      <c r="A30">
        <v>81</v>
      </c>
      <c r="B30" s="7">
        <f t="shared" ca="1" si="0"/>
        <v>0.14278341374392478</v>
      </c>
      <c r="C30" s="7">
        <f t="shared" ca="1" si="1"/>
        <v>0.14000000000000001</v>
      </c>
      <c r="D30" s="7" t="str">
        <f ca="1">CONCATENATE(C30, "; ", 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C92)</f>
        <v>0,14; 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</v>
      </c>
      <c r="E30" s="35"/>
      <c r="F30" s="35"/>
      <c r="G30" s="35"/>
      <c r="H30" s="1"/>
    </row>
    <row r="31" spans="1:8" ht="15.75">
      <c r="A31" s="42">
        <v>80</v>
      </c>
      <c r="B31" s="7">
        <f t="shared" ca="1" si="0"/>
        <v>0.13751500626421928</v>
      </c>
      <c r="C31" s="7">
        <f t="shared" ca="1" si="1"/>
        <v>0.14000000000000001</v>
      </c>
      <c r="D31" s="7" t="str">
        <f ca="1">CONCATENATE(C31, "; ", 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31" s="35"/>
      <c r="F31" s="35"/>
      <c r="G31" s="35"/>
      <c r="H31" s="1"/>
    </row>
    <row r="32" spans="1:8" ht="15.75">
      <c r="A32">
        <v>79</v>
      </c>
      <c r="B32" s="7">
        <f t="shared" ca="1" si="0"/>
        <v>0.13878731769019337</v>
      </c>
      <c r="C32" s="7">
        <f t="shared" ca="1" si="1"/>
        <v>0.14000000000000001</v>
      </c>
      <c r="D32" s="7" t="str">
        <f ca="1">CONCATENATE(C32, "; ", 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C94)</f>
        <v>0,14; 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</v>
      </c>
      <c r="E32" s="35"/>
      <c r="F32" s="35"/>
      <c r="G32" s="35"/>
      <c r="H32" s="1"/>
    </row>
    <row r="33" spans="1:8" ht="15.75">
      <c r="A33">
        <v>78</v>
      </c>
      <c r="B33" s="7">
        <f t="shared" ca="1" si="0"/>
        <v>0.13056373372882263</v>
      </c>
      <c r="C33" s="7">
        <f t="shared" ca="1" si="1"/>
        <v>0.13</v>
      </c>
      <c r="D33" s="7" t="str">
        <f ca="1">CONCATENATE(C33, "; ", 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C95)</f>
        <v>0,13; 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</v>
      </c>
      <c r="E33" s="35"/>
      <c r="F33" s="35"/>
      <c r="G33" s="35"/>
      <c r="H33" s="1"/>
    </row>
    <row r="34" spans="1:8" ht="15.75">
      <c r="A34">
        <v>77</v>
      </c>
      <c r="B34" s="7">
        <f t="shared" ca="1" si="0"/>
        <v>0.14317563314003773</v>
      </c>
      <c r="C34" s="7">
        <f t="shared" ca="1" si="1"/>
        <v>0.14000000000000001</v>
      </c>
      <c r="D34" s="7" t="str">
        <f ca="1">CONCATENATE(C34, "; ", 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C96)</f>
        <v>0,14; 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</v>
      </c>
      <c r="E34" s="35"/>
      <c r="F34" s="35"/>
      <c r="G34" s="35"/>
      <c r="H34" s="1"/>
    </row>
    <row r="35" spans="1:8" ht="15.75">
      <c r="A35">
        <v>76</v>
      </c>
      <c r="B35" s="7">
        <f t="shared" ca="1" si="0"/>
        <v>0.14880634512288207</v>
      </c>
      <c r="C35" s="7">
        <f t="shared" ca="1" si="1"/>
        <v>0.15</v>
      </c>
      <c r="D35" s="7" t="str">
        <f ca="1">CONCATENATE(C35, "; ", 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C97)</f>
        <v>0,15; 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</v>
      </c>
      <c r="E35" s="35"/>
      <c r="F35" s="35"/>
      <c r="G35" s="35"/>
      <c r="H35" s="1"/>
    </row>
    <row r="36" spans="1:8" ht="15.75">
      <c r="A36" s="42">
        <v>75</v>
      </c>
      <c r="B36" s="7">
        <f t="shared" ca="1" si="0"/>
        <v>0.11907061973945793</v>
      </c>
      <c r="C36" s="7">
        <f t="shared" ca="1" si="1"/>
        <v>0.12</v>
      </c>
      <c r="D36" s="7" t="str">
        <f ca="1">CONCATENATE(C36, "; ", 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36" s="35"/>
      <c r="F36" s="35"/>
      <c r="G36" s="35"/>
      <c r="H36" s="1"/>
    </row>
    <row r="37" spans="1:8" ht="15.75">
      <c r="A37">
        <v>74</v>
      </c>
      <c r="B37" s="7">
        <f t="shared" ca="1" si="0"/>
        <v>0.1650445820768294</v>
      </c>
      <c r="C37" s="7">
        <f t="shared" ca="1" si="1"/>
        <v>0.17</v>
      </c>
      <c r="D37" s="7" t="str">
        <f ca="1">CONCATENATE(C37, "; ", 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C99)</f>
        <v>0,17; 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</v>
      </c>
      <c r="E37" s="35"/>
      <c r="F37" s="35"/>
      <c r="G37" s="35"/>
      <c r="H37" s="1"/>
    </row>
    <row r="38" spans="1:8" ht="15.75">
      <c r="A38">
        <v>73</v>
      </c>
      <c r="B38" s="7">
        <f t="shared" ca="1" si="0"/>
        <v>0.18274636089730523</v>
      </c>
      <c r="C38" s="7">
        <f t="shared" ca="1" si="1"/>
        <v>0.18</v>
      </c>
      <c r="D38" s="7" t="str">
        <f ca="1">CONCATENATE(C38, "; ", 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C100)</f>
        <v>0,18; 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</v>
      </c>
      <c r="E38" s="35"/>
      <c r="F38" s="35"/>
      <c r="G38" s="35"/>
      <c r="H38" s="1"/>
    </row>
    <row r="39" spans="1:8" ht="15.75">
      <c r="A39">
        <v>72</v>
      </c>
      <c r="B39" s="7">
        <f t="shared" ca="1" si="0"/>
        <v>0.16020496514703333</v>
      </c>
      <c r="C39" s="7">
        <f t="shared" ca="1" si="1"/>
        <v>0.16</v>
      </c>
      <c r="D39" s="7" t="str">
        <f ca="1">CONCATENATE(C39, "; ", 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C101)</f>
        <v>0,16; 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</v>
      </c>
      <c r="E39" s="35"/>
      <c r="F39" s="35"/>
      <c r="G39" s="35"/>
      <c r="H39" s="1"/>
    </row>
    <row r="40" spans="1:8" ht="15.75">
      <c r="A40">
        <v>71</v>
      </c>
      <c r="B40" s="7">
        <f t="shared" ca="1" si="0"/>
        <v>0.14345001968336446</v>
      </c>
      <c r="C40" s="7">
        <f t="shared" ca="1" si="1"/>
        <v>0.14000000000000001</v>
      </c>
      <c r="D40" s="7" t="str">
        <f ca="1">CONCATENATE(C40, "; ", 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C102)</f>
        <v>0,14; 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</v>
      </c>
      <c r="E40" s="35"/>
      <c r="F40" s="35"/>
      <c r="G40" s="35"/>
      <c r="H40" s="1"/>
    </row>
    <row r="41" spans="1:8" ht="15.75">
      <c r="A41" s="42">
        <v>70</v>
      </c>
      <c r="B41" s="7">
        <f t="shared" ca="1" si="0"/>
        <v>0.12199876782279996</v>
      </c>
      <c r="C41" s="7">
        <f t="shared" ca="1" si="1"/>
        <v>0.12</v>
      </c>
      <c r="D41" s="7" t="str">
        <f ca="1">CONCATENATE(C41, "; ", 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41" s="35"/>
      <c r="F41" s="35"/>
      <c r="G41" s="35"/>
      <c r="H41" s="1"/>
    </row>
    <row r="42" spans="1:8" ht="15.75">
      <c r="A42">
        <v>69</v>
      </c>
      <c r="B42" s="7">
        <f t="shared" ca="1" si="0"/>
        <v>0.13475198719588763</v>
      </c>
      <c r="C42" s="7">
        <f t="shared" ca="1" si="1"/>
        <v>0.13</v>
      </c>
      <c r="D42" s="7" t="str">
        <f ca="1">CONCATENATE(C42, "; ", 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C104)</f>
        <v>0,13; 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</v>
      </c>
      <c r="E42" s="35"/>
      <c r="F42" s="35"/>
      <c r="G42" s="35"/>
      <c r="H42" s="1"/>
    </row>
    <row r="43" spans="1:8" ht="15.75">
      <c r="A43">
        <v>68</v>
      </c>
      <c r="B43" s="7">
        <f t="shared" ca="1" si="0"/>
        <v>0.14066889712368819</v>
      </c>
      <c r="C43" s="7">
        <f t="shared" ca="1" si="1"/>
        <v>0.14000000000000001</v>
      </c>
      <c r="D43" s="7" t="str">
        <f ca="1">CONCATENATE(C43, "; ", 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C105)</f>
        <v>0,14; 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</v>
      </c>
      <c r="E43" s="35"/>
      <c r="F43" s="35"/>
      <c r="G43" s="35"/>
      <c r="H43" s="1"/>
    </row>
    <row r="44" spans="1:8" ht="15.75">
      <c r="A44" s="42">
        <v>67</v>
      </c>
      <c r="B44" s="7">
        <f t="shared" ca="1" si="0"/>
        <v>0.16695667708620823</v>
      </c>
      <c r="C44" s="7">
        <f t="shared" ca="1" si="1"/>
        <v>0.17</v>
      </c>
      <c r="D44" s="7" t="str">
        <f ca="1">CONCATENATE(C44, "; ", 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0,17; 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44" s="35"/>
      <c r="F44" s="35"/>
      <c r="G44" s="35"/>
      <c r="H44" s="1"/>
    </row>
    <row r="45" spans="1:8" ht="15.75">
      <c r="A45">
        <v>66</v>
      </c>
      <c r="B45" s="7">
        <f t="shared" ca="1" si="0"/>
        <v>0.11915201258307299</v>
      </c>
      <c r="C45" s="7">
        <f t="shared" ca="1" si="1"/>
        <v>0.12</v>
      </c>
      <c r="D45" s="7" t="str">
        <f ca="1">CONCATENATE(C45, "; ", 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C107)</f>
        <v>0,12; 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</v>
      </c>
      <c r="E45" s="35"/>
      <c r="F45" s="35"/>
      <c r="G45" s="35"/>
      <c r="H45" s="1"/>
    </row>
    <row r="46" spans="1:8" ht="15.75">
      <c r="A46">
        <v>65</v>
      </c>
      <c r="B46" s="7">
        <f t="shared" ca="1" si="0"/>
        <v>0.12362518459869293</v>
      </c>
      <c r="C46" s="7">
        <f t="shared" ca="1" si="1"/>
        <v>0.12</v>
      </c>
      <c r="D46" s="7" t="str">
        <f ca="1">CONCATENATE(C46, "; ", 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C108)</f>
        <v>0,12; 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</v>
      </c>
      <c r="E46" s="35"/>
      <c r="F46" s="35"/>
      <c r="G46" s="35"/>
      <c r="H46" s="1"/>
    </row>
    <row r="47" spans="1:8" ht="15.75">
      <c r="A47">
        <v>64</v>
      </c>
      <c r="B47" s="7">
        <f t="shared" ca="1" si="0"/>
        <v>0.1583210307641581</v>
      </c>
      <c r="C47" s="7">
        <f t="shared" ca="1" si="1"/>
        <v>0.16</v>
      </c>
      <c r="D47" s="7" t="str">
        <f ca="1">CONCATENATE(C47, "; ", 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C109)</f>
        <v>0,16; 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</v>
      </c>
      <c r="E47" s="35"/>
      <c r="F47" s="35"/>
      <c r="G47" s="35"/>
      <c r="H47" s="1"/>
    </row>
    <row r="48" spans="1:8" ht="15.75">
      <c r="A48">
        <v>63</v>
      </c>
      <c r="B48" s="7">
        <f t="shared" ca="1" si="0"/>
        <v>0.12226090660946543</v>
      </c>
      <c r="C48" s="7">
        <f t="shared" ca="1" si="1"/>
        <v>0.12</v>
      </c>
      <c r="D48" s="7" t="str">
        <f ca="1">CONCATENATE(C48, "; ", 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48" s="35"/>
      <c r="F48" s="35"/>
      <c r="G48" s="35"/>
      <c r="H48" s="1"/>
    </row>
    <row r="49" spans="1:23" ht="15.75">
      <c r="A49">
        <v>62</v>
      </c>
      <c r="B49" s="7">
        <f t="shared" ca="1" si="0"/>
        <v>0.13417865138751897</v>
      </c>
      <c r="C49" s="7">
        <f t="shared" ca="1" si="1"/>
        <v>0.13</v>
      </c>
      <c r="D49" s="7" t="str">
        <f ca="1">CONCATENATE(C49, "; ", 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0,13; 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49" s="37"/>
      <c r="F49" s="37"/>
      <c r="G49" s="37"/>
      <c r="H49" s="38"/>
    </row>
    <row r="50" spans="1:23" ht="15.75">
      <c r="A50">
        <v>61</v>
      </c>
      <c r="B50" s="7">
        <f t="shared" ca="1" si="0"/>
        <v>0.17143205837086262</v>
      </c>
      <c r="C50" s="7">
        <f t="shared" ca="1" si="1"/>
        <v>0.17</v>
      </c>
      <c r="D50" s="7" t="str">
        <f ca="1">CONCATENATE(C50, "; ", 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0,17; 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0" s="36"/>
      <c r="F50" s="36"/>
      <c r="G50" s="36"/>
      <c r="H50" s="38"/>
    </row>
    <row r="51" spans="1:23">
      <c r="A51">
        <v>60</v>
      </c>
      <c r="B51" s="7">
        <f t="shared" ca="1" si="0"/>
        <v>0.11983135234527774</v>
      </c>
      <c r="C51" s="7">
        <f t="shared" ca="1" si="1"/>
        <v>0.12</v>
      </c>
      <c r="D51" s="7" t="str">
        <f ca="1">CONCATENATE(C51, "; ", 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1" s="7"/>
      <c r="F51" s="7"/>
      <c r="G51" s="7"/>
      <c r="H51" s="7"/>
    </row>
    <row r="52" spans="1:23">
      <c r="A52">
        <v>59</v>
      </c>
      <c r="B52" s="7">
        <f t="shared" ca="1" si="0"/>
        <v>0.12185354465397623</v>
      </c>
      <c r="C52" s="7">
        <f t="shared" ca="1" si="1"/>
        <v>0.12</v>
      </c>
      <c r="D52" s="7" t="str">
        <f ca="1">CONCATENATE(C52, "; ", 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2" s="7"/>
      <c r="F52" s="7"/>
      <c r="G52" s="7"/>
      <c r="H52" s="7"/>
    </row>
    <row r="53" spans="1:23" ht="15.75">
      <c r="A53">
        <v>58</v>
      </c>
      <c r="B53" s="7">
        <f t="shared" ca="1" si="0"/>
        <v>0.13759609710590581</v>
      </c>
      <c r="C53" s="7">
        <f t="shared" ca="1" si="1"/>
        <v>0.14000000000000001</v>
      </c>
      <c r="D53" s="7" t="str">
        <f ca="1">CONCATENATE(C53, "; ", 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3" s="39"/>
      <c r="F53" s="39"/>
      <c r="G53" s="39"/>
      <c r="H53" s="39"/>
    </row>
    <row r="54" spans="1:23">
      <c r="A54">
        <v>57</v>
      </c>
      <c r="B54" s="7">
        <f t="shared" ca="1" si="0"/>
        <v>0.14481125736660516</v>
      </c>
      <c r="C54" s="7">
        <f t="shared" ca="1" si="1"/>
        <v>0.14000000000000001</v>
      </c>
      <c r="D54" s="7" t="str">
        <f ca="1">CONCATENATE(C54, "; ", 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4" s="7"/>
      <c r="F54" s="7"/>
      <c r="G54" s="7"/>
      <c r="H54" s="7"/>
      <c r="I54" s="5"/>
      <c r="J54" s="7"/>
      <c r="K54" s="7"/>
      <c r="L54" s="7"/>
      <c r="M54" s="7"/>
      <c r="N54" s="7"/>
      <c r="O54" s="7"/>
      <c r="P54" s="5"/>
      <c r="Q54" s="5"/>
      <c r="R54" s="5"/>
      <c r="S54" s="5"/>
      <c r="T54" s="5"/>
      <c r="U54" s="5"/>
      <c r="V54" s="5"/>
      <c r="W54" s="5"/>
    </row>
    <row r="55" spans="1:23">
      <c r="A55">
        <v>56</v>
      </c>
      <c r="B55" s="7">
        <f t="shared" ca="1" si="0"/>
        <v>0.14073844706630212</v>
      </c>
      <c r="C55" s="7">
        <f t="shared" ca="1" si="1"/>
        <v>0.14000000000000001</v>
      </c>
      <c r="D55" s="7" t="str">
        <f ca="1">CONCATENATE(C55, "; ", 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0,14; 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5" s="7"/>
      <c r="F55" s="7"/>
      <c r="G55" s="7"/>
      <c r="H55" s="7"/>
      <c r="J55" s="7"/>
      <c r="K55" s="7"/>
      <c r="L55" s="7"/>
      <c r="M55" s="7"/>
      <c r="N55" s="7"/>
      <c r="O55" s="7"/>
      <c r="P55" s="5"/>
      <c r="Q55" s="5"/>
      <c r="R55" s="5"/>
      <c r="S55" s="5"/>
      <c r="T55" s="5"/>
      <c r="U55" s="5"/>
      <c r="V55" s="5"/>
      <c r="W55" s="5"/>
    </row>
    <row r="56" spans="1:23">
      <c r="A56">
        <v>55</v>
      </c>
      <c r="B56" s="7">
        <f t="shared" ca="1" si="0"/>
        <v>0.12324060437340352</v>
      </c>
      <c r="C56" s="7">
        <f t="shared" ca="1" si="1"/>
        <v>0.12</v>
      </c>
      <c r="D56" s="7" t="str">
        <f ca="1">CONCATENATE(C56, "; ", 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6" s="7"/>
      <c r="F56" s="7"/>
      <c r="G56" s="7"/>
      <c r="H56" s="7"/>
      <c r="I56" s="5"/>
      <c r="J56" s="7"/>
      <c r="K56" s="7"/>
      <c r="L56" s="7"/>
      <c r="M56" s="7"/>
      <c r="N56" s="7"/>
      <c r="O56" s="7"/>
      <c r="P56" s="5"/>
      <c r="Q56" s="5"/>
      <c r="R56" s="5"/>
      <c r="S56" s="5"/>
      <c r="T56" s="5"/>
      <c r="U56" s="5"/>
      <c r="V56" s="5"/>
      <c r="W56" s="5"/>
    </row>
    <row r="57" spans="1:23">
      <c r="A57">
        <v>54</v>
      </c>
      <c r="B57" s="7">
        <f t="shared" ca="1" si="0"/>
        <v>0.14609212715649617</v>
      </c>
      <c r="C57" s="7">
        <f t="shared" ca="1" si="1"/>
        <v>0.15</v>
      </c>
      <c r="D57" s="7" t="str">
        <f ca="1">CONCATENATE(C57, "; ", 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0,15; 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7" s="7"/>
      <c r="F57" s="7"/>
      <c r="G57" s="7"/>
      <c r="H57" s="7"/>
      <c r="J57" s="7"/>
      <c r="K57" s="7"/>
      <c r="L57" s="7"/>
      <c r="M57" s="7"/>
      <c r="N57" s="7"/>
      <c r="O57" s="7"/>
      <c r="P57" s="5"/>
      <c r="Q57" s="5"/>
      <c r="R57" s="5"/>
      <c r="S57" s="5"/>
      <c r="T57" s="5"/>
      <c r="U57" s="5"/>
      <c r="V57" s="5"/>
      <c r="W57" s="5"/>
    </row>
    <row r="58" spans="1:23">
      <c r="A58">
        <v>53</v>
      </c>
      <c r="B58" s="7">
        <f t="shared" ca="1" si="0"/>
        <v>0.11048045559672939</v>
      </c>
      <c r="C58" s="7">
        <f t="shared" ca="1" si="1"/>
        <v>0.11</v>
      </c>
      <c r="D58" s="7" t="str">
        <f ca="1">CONCATENATE(C58, "; ", 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0,11; 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8" s="7"/>
      <c r="F58" s="7"/>
      <c r="G58" s="7"/>
      <c r="H58" s="7"/>
      <c r="I58" s="5"/>
      <c r="J58" s="7"/>
      <c r="K58" s="7"/>
      <c r="L58" s="7"/>
      <c r="M58" s="7"/>
      <c r="N58" s="7"/>
      <c r="O58" s="7"/>
      <c r="P58" s="5"/>
      <c r="Q58" s="5"/>
      <c r="R58" s="5"/>
      <c r="S58" s="5"/>
      <c r="T58" s="5"/>
      <c r="U58" s="5"/>
      <c r="V58" s="5"/>
      <c r="W58" s="5"/>
    </row>
    <row r="59" spans="1:23">
      <c r="A59">
        <v>52</v>
      </c>
      <c r="B59" s="7">
        <f t="shared" ca="1" si="0"/>
        <v>0.11952424944990638</v>
      </c>
      <c r="C59" s="7">
        <f t="shared" ca="1" si="1"/>
        <v>0.12</v>
      </c>
      <c r="D59" s="7" t="str">
        <f ca="1">CONCATENATE(C59, "; ", 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59" s="7"/>
      <c r="F59" s="7"/>
      <c r="G59" s="7"/>
      <c r="H59" s="7"/>
      <c r="J59" s="7"/>
      <c r="K59" s="7"/>
      <c r="L59" s="7"/>
      <c r="M59" s="7"/>
      <c r="N59" s="7"/>
      <c r="O59" s="7"/>
      <c r="P59" s="5"/>
      <c r="Q59" s="5"/>
      <c r="R59" s="5"/>
      <c r="S59" s="5"/>
      <c r="T59" s="5"/>
      <c r="U59" s="5"/>
      <c r="V59" s="5"/>
      <c r="W59" s="5"/>
    </row>
    <row r="60" spans="1:23">
      <c r="A60">
        <v>51</v>
      </c>
      <c r="B60" s="7">
        <f t="shared" ca="1" si="0"/>
        <v>0.1320369768943333</v>
      </c>
      <c r="C60" s="7">
        <f t="shared" ca="1" si="1"/>
        <v>0.13</v>
      </c>
      <c r="D60" s="7" t="str">
        <f ca="1">CONCATENATE(C60, "; ", 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0,13; 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60" s="7"/>
      <c r="F60" s="7"/>
      <c r="G60" s="7"/>
      <c r="H60" s="7"/>
      <c r="I60" s="5"/>
      <c r="J60" s="7"/>
      <c r="K60" s="7"/>
      <c r="L60" s="7"/>
      <c r="M60" s="7"/>
      <c r="N60" s="7"/>
      <c r="O60" s="7"/>
      <c r="P60" s="5"/>
      <c r="Q60" s="5"/>
      <c r="R60" s="5"/>
      <c r="S60" s="5"/>
      <c r="T60" s="5"/>
      <c r="U60" s="5"/>
      <c r="V60" s="5"/>
      <c r="W60" s="5"/>
    </row>
    <row r="61" spans="1:23" ht="15.75">
      <c r="A61">
        <v>50</v>
      </c>
      <c r="B61" s="7">
        <f t="shared" ca="1" si="0"/>
        <v>0.15952159809038063</v>
      </c>
      <c r="C61" s="7">
        <f ca="1">ROUND(B61,2)</f>
        <v>0.16</v>
      </c>
      <c r="D61" s="7" t="str">
        <f ca="1">CONCATENATE(C61, "; ", 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0,16; 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61" s="35"/>
      <c r="F61" s="35"/>
      <c r="G61" s="35"/>
      <c r="H61" s="1"/>
    </row>
    <row r="62" spans="1:23" ht="15.75">
      <c r="A62">
        <v>49</v>
      </c>
      <c r="B62" s="7">
        <f t="shared" ca="1" si="0"/>
        <v>0.14969238809271457</v>
      </c>
      <c r="C62" s="7">
        <f t="shared" ref="C62:C110" ca="1" si="2">ROUND(B62,2)</f>
        <v>0.15</v>
      </c>
      <c r="D62" s="7" t="str">
        <f ca="1">CONCATENATE(C62, "; ", 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C111)</f>
        <v xml:space="preserve">0,15; 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0,13; </v>
      </c>
      <c r="E62" s="37"/>
      <c r="F62" s="37"/>
      <c r="G62" s="37"/>
      <c r="H62" s="38"/>
    </row>
    <row r="63" spans="1:23" ht="15.75">
      <c r="A63">
        <v>48</v>
      </c>
      <c r="B63" s="7">
        <f t="shared" ca="1" si="0"/>
        <v>0.11726076211600751</v>
      </c>
      <c r="C63" s="7">
        <f t="shared" ca="1" si="2"/>
        <v>0.12</v>
      </c>
      <c r="D63" s="7" t="str">
        <f t="shared" ref="D63:D80" ca="1" si="3">CONCATENATE(C63, "; ", C64, "; ", 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C112)</f>
        <v xml:space="preserve">0,12; 0,12; 0,12; 0,13; 0,13; 0,14; 0,13; 0,16; 0,16; 0,13; 0,14; 0,13; 0,13; 0,18; 0,1; 0,14; 0,16; 0,13; 0,11; 0,16; 0,13; 0,12; 0,12; 0,13; 0,11; 0,12; 0,16; 0,14; 0,15; 0,16; 0,12; 0,12; 0,14; 0,12; 0,13; 0,15; 0,14; 0,15; 0,13; 0,16; 0,13; 0,14; 0,15; 0,13; 0,13; 0,14; 0,16; 0,13; ; </v>
      </c>
      <c r="E63" s="36"/>
      <c r="F63" s="36"/>
      <c r="G63" s="36"/>
      <c r="H63" s="38"/>
    </row>
    <row r="64" spans="1:23">
      <c r="A64">
        <v>47</v>
      </c>
      <c r="B64" s="7">
        <f t="shared" ca="1" si="0"/>
        <v>0.11501760787120688</v>
      </c>
      <c r="C64" s="7">
        <f t="shared" ca="1" si="2"/>
        <v>0.12</v>
      </c>
      <c r="D64" s="7" t="str">
        <f t="shared" ca="1" si="3"/>
        <v xml:space="preserve">0,12; 0,12; 0,13; 0,13; 0,14; 0,13; 0,16; 0,16; 0,13; 0,14; 0,13; 0,13; 0,18; 0,1; 0,14; 0,16; 0,13; 0,11; 0,16; 0,13; 0,12; 0,12; 0,13; 0,11; 0,12; 0,16; 0,14; 0,15; 0,16; 0,12; 0,12; 0,14; 0,12; 0,13; 0,15; 0,14; 0,15; 0,13; 0,16; 0,13; 0,14; 0,15; 0,13; 0,13; 0,14; 0,16; 0,13; ; ; </v>
      </c>
      <c r="E64" s="7"/>
      <c r="F64" s="7"/>
      <c r="G64" s="7"/>
      <c r="H64" s="7"/>
    </row>
    <row r="65" spans="1:31">
      <c r="A65">
        <v>46</v>
      </c>
      <c r="B65" s="7">
        <f t="shared" ref="B65:B103" ca="1" si="4">0.1 + (0.21-0.1) * _xlfn.BETA.INV(RAND(), 3, 5.916)</f>
        <v>0.11623318235478619</v>
      </c>
      <c r="C65" s="7">
        <f t="shared" ca="1" si="2"/>
        <v>0.12</v>
      </c>
      <c r="D65" s="7" t="str">
        <f ca="1">CONCATENATE(C65, "; ", C66, "; ", C67, "; ", C68, "; ", C69, "; ", C70, "; ", C71, "; ", C72, "; ", C73, "; ", C74, "; ", C75, "; ", C76, "; ", C77, "; ", C78, "; ", C79, "; ", C80, "; ", 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0,13; 0,13; 0,14; 0,13; 0,16; 0,16; 0,13; 0,14; 0,13; 0,13; 0,18; 0,1; 0,14; 0,16; 0,13; 0,11; 0,16; 0,13; 0,12; 0,12; 0,13; 0,11; 0,12; 0,16; 0,14; 0,15; 0,16; 0,12; 0,12; 0,14; 0,12; 0,13; 0,15; 0,14; 0,15; 0,13; 0,16; 0,13; 0,14; 0,15; 0,13; 0,13; 0,14; 0,16; 0,13</v>
      </c>
      <c r="E65" s="7"/>
      <c r="F65" s="7"/>
      <c r="G65" s="7"/>
      <c r="H65" s="7"/>
    </row>
    <row r="66" spans="1:31" ht="15.75">
      <c r="A66">
        <v>45</v>
      </c>
      <c r="B66" s="7">
        <f t="shared" ca="1" si="4"/>
        <v>0.12520295090356118</v>
      </c>
      <c r="C66" s="7">
        <f t="shared" ca="1" si="2"/>
        <v>0.13</v>
      </c>
      <c r="D66" s="7" t="str">
        <f t="shared" ca="1" si="3"/>
        <v xml:space="preserve">0,13; 0,13; 0,14; 0,13; 0,16; 0,16; 0,13; 0,14; 0,13; 0,13; 0,18; 0,1; 0,14; 0,16; 0,13; 0,11; 0,16; 0,13; 0,12; 0,12; 0,13; 0,11; 0,12; 0,16; 0,14; 0,15; 0,16; 0,12; 0,12; 0,14; 0,12; 0,13; 0,15; 0,14; 0,15; 0,13; 0,16; 0,13; 0,14; 0,15; 0,13; 0,13; 0,14; 0,16; 0,13; ; ; ; ; </v>
      </c>
      <c r="E66" s="39"/>
      <c r="F66" s="39"/>
      <c r="G66" s="39"/>
      <c r="H66" s="39"/>
    </row>
    <row r="67" spans="1:31">
      <c r="A67">
        <v>44</v>
      </c>
      <c r="B67" s="7">
        <f t="shared" ca="1" si="4"/>
        <v>0.13034751174680895</v>
      </c>
      <c r="C67" s="7">
        <f t="shared" ca="1" si="2"/>
        <v>0.13</v>
      </c>
      <c r="D67" s="7" t="str">
        <f t="shared" ca="1" si="3"/>
        <v xml:space="preserve">0,13; 0,14; 0,13; 0,16; 0,16; 0,13; 0,14; 0,13; 0,13; 0,18; 0,1; 0,14; 0,16; 0,13; 0,11; 0,16; 0,13; 0,12; 0,12; 0,13; 0,11; 0,12; 0,16; 0,14; 0,15; 0,16; 0,12; 0,12; 0,14; 0,12; 0,13; 0,15; 0,14; 0,15; 0,13; 0,16; 0,13; 0,14; 0,15; 0,13; 0,13; 0,14; 0,16; 0,13; ; ; ; ; ; </v>
      </c>
      <c r="E67" s="7"/>
      <c r="F67" s="7"/>
      <c r="G67" s="7"/>
      <c r="H67" s="7"/>
      <c r="I67" s="5"/>
      <c r="J67" s="7"/>
      <c r="K67" s="7"/>
      <c r="L67" s="7"/>
      <c r="M67" s="7"/>
      <c r="N67" s="7"/>
      <c r="O67" s="7"/>
      <c r="P67" s="5"/>
      <c r="Q67" s="5"/>
      <c r="R67" s="5"/>
      <c r="S67" s="5"/>
      <c r="T67" s="5"/>
      <c r="U67" s="5"/>
      <c r="V67" s="5"/>
      <c r="W67" s="5"/>
    </row>
    <row r="68" spans="1:31">
      <c r="A68">
        <v>43</v>
      </c>
      <c r="B68" s="7">
        <f t="shared" ca="1" si="4"/>
        <v>0.14226734863799612</v>
      </c>
      <c r="C68" s="7">
        <f t="shared" ca="1" si="2"/>
        <v>0.14000000000000001</v>
      </c>
      <c r="D68" s="7" t="str">
        <f t="shared" ca="1" si="3"/>
        <v xml:space="preserve">0,14; 0,13; 0,16; 0,16; 0,13; 0,14; 0,13; 0,13; 0,18; 0,1; 0,14; 0,16; 0,13; 0,11; 0,16; 0,13; 0,12; 0,12; 0,13; 0,11; 0,12; 0,16; 0,14; 0,15; 0,16; 0,12; 0,12; 0,14; 0,12; 0,13; 0,15; 0,14; 0,15; 0,13; 0,16; 0,13; 0,14; 0,15; 0,13; 0,13; 0,14; 0,16; 0,13; ; ; ; ; ; ; </v>
      </c>
      <c r="E68" s="7"/>
      <c r="F68" s="7"/>
      <c r="G68" s="7"/>
      <c r="H68" s="7"/>
      <c r="J68" s="7"/>
      <c r="K68" s="7"/>
      <c r="L68" s="7"/>
      <c r="M68" s="7"/>
      <c r="N68" s="7"/>
      <c r="O68" s="7"/>
      <c r="P68" s="5"/>
      <c r="Q68" s="5"/>
      <c r="R68" s="5"/>
      <c r="S68" s="5"/>
      <c r="T68" s="5"/>
      <c r="U68" s="5"/>
      <c r="V68" s="5"/>
      <c r="W68" s="5"/>
    </row>
    <row r="69" spans="1:31">
      <c r="A69">
        <v>42</v>
      </c>
      <c r="B69" s="7">
        <f t="shared" ca="1" si="4"/>
        <v>0.12684199120790871</v>
      </c>
      <c r="C69" s="7">
        <f t="shared" ca="1" si="2"/>
        <v>0.13</v>
      </c>
      <c r="D69" s="7" t="str">
        <f t="shared" ca="1" si="3"/>
        <v xml:space="preserve">0,13; 0,16; 0,16; 0,13; 0,14; 0,13; 0,13; 0,18; 0,1; 0,14; 0,16; 0,13; 0,11; 0,16; 0,13; 0,12; 0,12; 0,13; 0,11; 0,12; 0,16; 0,14; 0,15; 0,16; 0,12; 0,12; 0,14; 0,12; 0,13; 0,15; 0,14; 0,15; 0,13; 0,16; 0,13; 0,14; 0,15; 0,13; 0,13; 0,14; 0,16; 0,13; ; ; ; ; ; ; ; </v>
      </c>
      <c r="E69" s="7"/>
      <c r="F69" s="7"/>
      <c r="G69" s="7"/>
      <c r="H69" s="7"/>
      <c r="I69" s="5"/>
      <c r="J69" s="7"/>
      <c r="K69" s="7"/>
      <c r="L69" s="7"/>
      <c r="M69" s="7"/>
      <c r="N69" s="7"/>
      <c r="O69" s="7"/>
      <c r="P69" s="5"/>
      <c r="Q69" s="5"/>
      <c r="R69" s="5"/>
      <c r="S69" s="5"/>
      <c r="T69" s="5"/>
      <c r="U69" s="5"/>
      <c r="V69" s="5"/>
      <c r="W69" s="5"/>
    </row>
    <row r="70" spans="1:31">
      <c r="A70">
        <v>41</v>
      </c>
      <c r="B70" s="7">
        <f t="shared" ca="1" si="4"/>
        <v>0.15858879498970782</v>
      </c>
      <c r="C70" s="7">
        <f ca="1">ROUND(B70,2)</f>
        <v>0.16</v>
      </c>
      <c r="D70" s="7" t="str">
        <f t="shared" ca="1" si="3"/>
        <v xml:space="preserve">0,16; 0,16; 0,13; 0,14; 0,13; 0,13; 0,18; 0,1; 0,14; 0,16; 0,13; 0,11; 0,16; 0,13; 0,12; 0,12; 0,13; 0,11; 0,12; 0,16; 0,14; 0,15; 0,16; 0,12; 0,12; 0,14; 0,12; 0,13; 0,15; 0,14; 0,15; 0,13; 0,16; 0,13; 0,14; 0,15; 0,13; 0,13; 0,14; 0,16; 0,13; ; ; ; ; ; ; ; ; </v>
      </c>
      <c r="E70" s="7"/>
      <c r="F70" s="7"/>
      <c r="G70" s="7"/>
      <c r="H70" s="7"/>
      <c r="J70" s="7"/>
      <c r="K70" s="7"/>
      <c r="L70" s="7"/>
      <c r="M70" s="7"/>
      <c r="N70" s="7"/>
      <c r="O70" s="7"/>
      <c r="P70" s="5"/>
      <c r="Q70" s="5"/>
      <c r="R70" s="5"/>
      <c r="S70" s="5"/>
      <c r="T70" s="5"/>
      <c r="U70" s="5"/>
      <c r="V70" s="5"/>
      <c r="W70" s="5"/>
    </row>
    <row r="71" spans="1:31">
      <c r="A71">
        <v>40</v>
      </c>
      <c r="B71" s="7">
        <f t="shared" ca="1" si="4"/>
        <v>0.1550726361908793</v>
      </c>
      <c r="C71" s="7">
        <f t="shared" ca="1" si="2"/>
        <v>0.16</v>
      </c>
      <c r="D71" s="7" t="str">
        <f t="shared" ca="1" si="3"/>
        <v xml:space="preserve">0,16; 0,13; 0,14; 0,13; 0,13; 0,18; 0,1; 0,14; 0,16; 0,13; 0,11; 0,16; 0,13; 0,12; 0,12; 0,13; 0,11; 0,12; 0,16; 0,14; 0,15; 0,16; 0,12; 0,12; 0,14; 0,12; 0,13; 0,15; 0,14; 0,15; 0,13; 0,16; 0,13; 0,14; 0,15; 0,13; 0,13; 0,14; 0,16; 0,13; ; ; ; ; ; ; ; ; ; </v>
      </c>
      <c r="E71" s="7"/>
      <c r="F71" s="7"/>
      <c r="G71" s="7"/>
      <c r="H71" s="7"/>
      <c r="I71" s="5"/>
      <c r="J71" s="7"/>
      <c r="K71" s="7"/>
      <c r="L71" s="7"/>
      <c r="M71" s="7"/>
      <c r="N71" s="7"/>
      <c r="O71" s="7"/>
      <c r="P71" s="5"/>
      <c r="Q71" s="5"/>
      <c r="R71" s="5"/>
      <c r="S71" s="5"/>
      <c r="T71" s="5"/>
      <c r="U71" s="5"/>
      <c r="V71" s="5"/>
      <c r="W71" s="5"/>
    </row>
    <row r="72" spans="1:31">
      <c r="A72">
        <v>39</v>
      </c>
      <c r="B72" s="7">
        <f t="shared" ca="1" si="4"/>
        <v>0.1256249826551451</v>
      </c>
      <c r="C72" s="7">
        <f t="shared" ca="1" si="2"/>
        <v>0.13</v>
      </c>
      <c r="D72" s="7" t="str">
        <f t="shared" ca="1" si="3"/>
        <v xml:space="preserve">0,13; 0,14; 0,13; 0,13; 0,18; 0,1; 0,14; 0,16; 0,13; 0,11; 0,16; 0,13; 0,12; 0,12; 0,13; 0,11; 0,12; 0,16; 0,14; 0,15; 0,16; 0,12; 0,12; 0,14; 0,12; 0,13; 0,15; 0,14; 0,15; 0,13; 0,16; 0,13; 0,14; 0,15; 0,13; 0,13; 0,14; 0,16; 0,13; ; ; ; ; ; ; ; ; ; ; </v>
      </c>
      <c r="E72" s="7"/>
      <c r="F72" s="7"/>
      <c r="G72" s="7"/>
      <c r="H72" s="7"/>
      <c r="J72" s="7"/>
      <c r="K72" s="7"/>
      <c r="L72" s="7"/>
      <c r="M72" s="7"/>
      <c r="N72" s="7"/>
      <c r="O72" s="7"/>
      <c r="P72" s="5"/>
      <c r="Q72" s="5"/>
      <c r="R72" s="5"/>
      <c r="S72" s="5"/>
      <c r="T72" s="5"/>
      <c r="U72" s="5"/>
      <c r="V72" s="5"/>
      <c r="W72" s="5"/>
    </row>
    <row r="73" spans="1:31" s="42" customFormat="1">
      <c r="A73">
        <v>38</v>
      </c>
      <c r="B73" s="7">
        <f t="shared" ca="1" si="4"/>
        <v>0.13514823689566818</v>
      </c>
      <c r="C73" s="7">
        <f t="shared" ca="1" si="2"/>
        <v>0.14000000000000001</v>
      </c>
      <c r="D73" s="7" t="str">
        <f t="shared" ca="1" si="3"/>
        <v xml:space="preserve">0,14; 0,13; 0,13; 0,18; 0,1; 0,14; 0,16; 0,13; 0,11; 0,16; 0,13; 0,12; 0,12; 0,13; 0,11; 0,12; 0,16; 0,14; 0,15; 0,16; 0,12; 0,12; 0,14; 0,12; 0,13; 0,15; 0,14; 0,15; 0,13; 0,16; 0,13; 0,14; 0,15; 0,13; 0,13; 0,14; 0,16; 0,13; ; ; ; ; ; ; ; ; ; ; ; </v>
      </c>
      <c r="E73" s="7"/>
      <c r="F73" s="7"/>
      <c r="G73" s="7"/>
      <c r="H73" s="7"/>
      <c r="I73" s="5"/>
      <c r="J73" s="7"/>
      <c r="K73" s="7"/>
      <c r="L73" s="7"/>
      <c r="M73" s="7"/>
      <c r="N73" s="7"/>
      <c r="O73" s="7"/>
      <c r="P73" s="5"/>
      <c r="Q73" s="5"/>
      <c r="R73" s="5"/>
      <c r="S73" s="5"/>
      <c r="T73" s="5"/>
      <c r="U73" s="5"/>
      <c r="V73" s="5"/>
      <c r="W73" s="5"/>
      <c r="X73"/>
      <c r="Y73"/>
      <c r="Z73"/>
      <c r="AA73"/>
      <c r="AB73"/>
      <c r="AC73"/>
      <c r="AD73"/>
      <c r="AE73"/>
    </row>
    <row r="74" spans="1:31">
      <c r="A74">
        <v>37</v>
      </c>
      <c r="B74" s="7">
        <f t="shared" ca="1" si="4"/>
        <v>0.12967422155999847</v>
      </c>
      <c r="C74" s="7">
        <f t="shared" ca="1" si="2"/>
        <v>0.13</v>
      </c>
      <c r="D74" s="7" t="str">
        <f t="shared" ca="1" si="3"/>
        <v xml:space="preserve">0,13; 0,13; 0,18; 0,1; 0,14; 0,16; 0,13; 0,11; 0,16; 0,13; 0,12; 0,12; 0,13; 0,11; 0,12; 0,16; 0,14; 0,15; 0,16; 0,12; 0,12; 0,14; 0,12; 0,13; 0,15; 0,14; 0,15; 0,13; 0,16; 0,13; 0,14; 0,15; 0,13; 0,13; 0,14; 0,16; 0,13; ; ; ; ; ; ; ; ; ; ; ; ; </v>
      </c>
      <c r="E74" s="7"/>
      <c r="F74" s="7"/>
      <c r="G74" s="7"/>
      <c r="H74" s="7"/>
      <c r="J74" s="7"/>
      <c r="K74" s="7"/>
      <c r="L74" s="7"/>
      <c r="M74" s="7"/>
      <c r="N74" s="7"/>
      <c r="O74" s="7"/>
      <c r="P74" s="5"/>
      <c r="Q74" s="5"/>
      <c r="R74" s="5"/>
      <c r="S74" s="5"/>
      <c r="T74" s="5"/>
      <c r="U74" s="5"/>
      <c r="V74" s="5"/>
      <c r="W74" s="5"/>
    </row>
    <row r="75" spans="1:31">
      <c r="A75">
        <v>36</v>
      </c>
      <c r="B75" s="7">
        <f t="shared" ca="1" si="4"/>
        <v>0.12968644632552923</v>
      </c>
      <c r="C75" s="7">
        <f t="shared" ca="1" si="2"/>
        <v>0.13</v>
      </c>
      <c r="D75" s="7" t="str">
        <f t="shared" ca="1" si="3"/>
        <v xml:space="preserve">0,13; 0,18; 0,1; 0,14; 0,16; 0,13; 0,11; 0,16; 0,13; 0,12; 0,12; 0,13; 0,11; 0,12; 0,16; 0,14; 0,15; 0,16; 0,12; 0,12; 0,14; 0,12; 0,13; 0,15; 0,14; 0,15; 0,13; 0,16; 0,13; 0,14; 0,15; 0,13; 0,13; 0,14; 0,16; 0,13; ; ; ; ; ; ; ; ; ; ; ; ; ; </v>
      </c>
      <c r="E75" s="7"/>
      <c r="F75" s="7"/>
      <c r="G75" s="7"/>
      <c r="H75" s="7"/>
      <c r="I75" s="5"/>
      <c r="J75" s="7"/>
      <c r="K75" s="7"/>
      <c r="L75" s="7"/>
      <c r="M75" s="7"/>
      <c r="N75" s="7"/>
      <c r="O75" s="7"/>
      <c r="P75" s="5"/>
      <c r="Q75" s="5"/>
      <c r="R75" s="5"/>
      <c r="S75" s="5"/>
      <c r="T75" s="5"/>
      <c r="U75" s="5"/>
      <c r="V75" s="5"/>
      <c r="W75" s="5"/>
    </row>
    <row r="76" spans="1:31">
      <c r="A76">
        <v>35</v>
      </c>
      <c r="B76" s="7">
        <f t="shared" ca="1" si="4"/>
        <v>0.17936397003310872</v>
      </c>
      <c r="C76" s="7">
        <f t="shared" ca="1" si="2"/>
        <v>0.18</v>
      </c>
      <c r="D76" s="7" t="str">
        <f t="shared" ca="1" si="3"/>
        <v xml:space="preserve">0,18; 0,1; 0,14; 0,16; 0,13; 0,11; 0,16; 0,13; 0,12; 0,12; 0,13; 0,11; 0,12; 0,16; 0,14; 0,15; 0,16; 0,12; 0,12; 0,14; 0,12; 0,13; 0,15; 0,14; 0,15; 0,13; 0,16; 0,13; 0,14; 0,15; 0,13; 0,13; 0,14; 0,16; 0,13; ; ; ; ; ; ; ; ; ; ; ; ; ; ; </v>
      </c>
      <c r="E76" s="7"/>
      <c r="F76" s="7"/>
      <c r="G76" s="7"/>
      <c r="H76" s="7"/>
      <c r="J76" s="7"/>
      <c r="K76" s="7"/>
      <c r="L76" s="7"/>
      <c r="M76" s="7"/>
      <c r="N76" s="7"/>
      <c r="O76" s="7"/>
      <c r="P76" s="5"/>
      <c r="Q76" s="5"/>
      <c r="R76" s="5"/>
      <c r="S76" s="5"/>
      <c r="T76" s="5"/>
      <c r="U76" s="5"/>
      <c r="V76" s="5"/>
      <c r="W76" s="5"/>
    </row>
    <row r="77" spans="1:31">
      <c r="A77">
        <v>34</v>
      </c>
      <c r="B77" s="7">
        <f t="shared" ca="1" si="4"/>
        <v>0.10397815044273309</v>
      </c>
      <c r="C77" s="7">
        <f t="shared" ca="1" si="2"/>
        <v>0.1</v>
      </c>
      <c r="D77" s="7" t="str">
        <f t="shared" ca="1" si="3"/>
        <v xml:space="preserve">0,1; 0,14; 0,16; 0,13; 0,11; 0,16; 0,13; 0,12; 0,12; 0,13; 0,11; 0,12; 0,16; 0,14; 0,15; 0,16; 0,12; 0,12; 0,14; 0,12; 0,13; 0,15; 0,14; 0,15; 0,13; 0,16; 0,13; 0,14; 0,15; 0,13; 0,13; 0,14; 0,16; 0,13; ; ; ; ; ; ; ; ; ; ; ; ; ; ; ; </v>
      </c>
      <c r="E77" s="7"/>
      <c r="F77" s="7"/>
      <c r="G77" s="7"/>
      <c r="H77" s="7"/>
      <c r="I77" s="5"/>
      <c r="J77" s="7"/>
      <c r="K77" s="7"/>
      <c r="L77" s="7"/>
      <c r="M77" s="7"/>
      <c r="N77" s="7"/>
      <c r="O77" s="7"/>
      <c r="P77" s="5"/>
      <c r="Q77" s="5"/>
      <c r="R77" s="5"/>
      <c r="S77" s="5"/>
      <c r="T77" s="5"/>
      <c r="U77" s="5"/>
      <c r="V77" s="5"/>
      <c r="W77" s="5"/>
    </row>
    <row r="78" spans="1:31">
      <c r="A78">
        <v>33</v>
      </c>
      <c r="B78" s="7">
        <f t="shared" ca="1" si="4"/>
        <v>0.13507082356665484</v>
      </c>
      <c r="C78" s="7">
        <f t="shared" ca="1" si="2"/>
        <v>0.14000000000000001</v>
      </c>
      <c r="D78" s="7" t="str">
        <f t="shared" ca="1" si="3"/>
        <v xml:space="preserve">0,14; 0,16; 0,13; 0,11; 0,16; 0,13; 0,12; 0,12; 0,13; 0,11; 0,12; 0,16; 0,14; 0,15; 0,16; 0,12; 0,12; 0,14; 0,12; 0,13; 0,15; 0,14; 0,15; 0,13; 0,16; 0,13; 0,14; 0,15; 0,13; 0,13; 0,14; 0,16; 0,13; ; ; ; ; ; ; ; ; ; ; ; ; ; ; ; ; </v>
      </c>
      <c r="E78" s="7"/>
      <c r="F78" s="7"/>
      <c r="G78" s="7"/>
      <c r="H78" s="7"/>
      <c r="J78" s="7"/>
      <c r="K78" s="7"/>
      <c r="L78" s="7"/>
      <c r="M78" s="7"/>
      <c r="N78" s="7"/>
      <c r="O78" s="7"/>
      <c r="P78" s="5"/>
      <c r="Q78" s="5"/>
      <c r="R78" s="5"/>
      <c r="S78" s="5"/>
      <c r="T78" s="5"/>
      <c r="U78" s="5"/>
      <c r="V78" s="5"/>
      <c r="W78" s="5"/>
    </row>
    <row r="79" spans="1:31">
      <c r="A79">
        <v>32</v>
      </c>
      <c r="B79" s="7">
        <f t="shared" ca="1" si="4"/>
        <v>0.1566195511213902</v>
      </c>
      <c r="C79" s="7">
        <f t="shared" ca="1" si="2"/>
        <v>0.16</v>
      </c>
      <c r="D79" s="7" t="str">
        <f t="shared" ca="1" si="3"/>
        <v xml:space="preserve">0,16; 0,13; 0,11; 0,16; 0,13; 0,12; 0,12; 0,13; 0,11; 0,12; 0,16; 0,14; 0,15; 0,16; 0,12; 0,12; 0,14; 0,12; 0,13; 0,15; 0,14; 0,15; 0,13; 0,16; 0,13; 0,14; 0,15; 0,13; 0,13; 0,14; 0,16; 0,13; ; ; ; ; ; ; ; ; ; ; ; ; ; ; ; ; ; </v>
      </c>
      <c r="E79" s="7"/>
      <c r="F79" s="7"/>
      <c r="G79" s="7"/>
      <c r="H79" s="7"/>
      <c r="I79" s="5"/>
      <c r="J79" s="7"/>
      <c r="K79" s="7"/>
      <c r="L79" s="7"/>
      <c r="M79" s="7"/>
      <c r="N79" s="7"/>
      <c r="O79" s="7"/>
      <c r="P79" s="5"/>
      <c r="Q79" s="5"/>
      <c r="R79" s="5"/>
      <c r="S79" s="5"/>
      <c r="T79" s="5"/>
      <c r="U79" s="5"/>
      <c r="V79" s="5"/>
      <c r="W79" s="5"/>
    </row>
    <row r="80" spans="1:31">
      <c r="A80">
        <v>31</v>
      </c>
      <c r="B80" s="7">
        <f t="shared" ca="1" si="4"/>
        <v>0.1345909389188118</v>
      </c>
      <c r="C80" s="7">
        <f ca="1">ROUND(B80,2)</f>
        <v>0.13</v>
      </c>
      <c r="D80" s="7" t="str">
        <f t="shared" ca="1" si="3"/>
        <v xml:space="preserve">0,13; 0,11; 0,16; 0,13; 0,12; 0,12; 0,13; 0,11; 0,12; 0,16; 0,14; 0,15; 0,16; 0,12; 0,12; 0,14; 0,12; 0,13; 0,15; 0,14; 0,15; 0,13; 0,16; 0,13; 0,14; 0,15; 0,13; 0,13; 0,14; 0,16; 0,13; ; ; ; ; ; ; ; ; ; ; ; ; ; ; ; ; ; ; </v>
      </c>
      <c r="E80" s="7"/>
      <c r="F80" s="7"/>
      <c r="G80" s="7"/>
      <c r="H80" s="7"/>
      <c r="J80" s="7"/>
      <c r="K80" s="7"/>
      <c r="L80" s="7"/>
      <c r="M80" s="7"/>
      <c r="N80" s="7"/>
      <c r="O80" s="7"/>
      <c r="P80" s="5"/>
      <c r="Q80" s="5"/>
      <c r="R80" s="5"/>
      <c r="S80" s="5"/>
      <c r="T80" s="5"/>
      <c r="U80" s="5"/>
      <c r="V80" s="5"/>
      <c r="W80" s="5"/>
    </row>
    <row r="81" spans="1:31">
      <c r="A81">
        <v>30</v>
      </c>
      <c r="B81" s="7">
        <f t="shared" ca="1" si="4"/>
        <v>0.11125664805852505</v>
      </c>
      <c r="C81" s="7">
        <f t="shared" ca="1" si="2"/>
        <v>0.11</v>
      </c>
      <c r="D81" s="7" t="str">
        <f ca="1">CONCATENATE(C81, "; ", 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C130)</f>
        <v xml:space="preserve">0,11; 0,16; 0,13; 0,12; 0,12; 0,13; 0,11; 0,12; 0,16; 0,14; 0,15; 0,16; 0,12; 0,12; 0,14; 0,12; 0,13; 0,15; 0,14; 0,15; 0,13; 0,16; 0,13; 0,14; 0,15; 0,13; 0,13; 0,14; 0,16; 0,13; ; ; ; ; ; ; ; ; ; ; ; ; ; ; ; ; ; ; ; </v>
      </c>
      <c r="E81" s="7"/>
      <c r="F81" s="7"/>
      <c r="G81" s="7"/>
      <c r="H81" s="7"/>
      <c r="I81" s="5"/>
      <c r="J81" s="7"/>
      <c r="K81" s="7"/>
      <c r="L81" s="7"/>
      <c r="M81" s="7"/>
      <c r="N81" s="7"/>
      <c r="O81" s="7"/>
      <c r="P81" s="5"/>
      <c r="Q81" s="5"/>
      <c r="R81" s="5"/>
      <c r="S81" s="5"/>
      <c r="T81" s="5"/>
      <c r="U81" s="5"/>
      <c r="V81" s="5"/>
      <c r="W81" s="5"/>
    </row>
    <row r="82" spans="1:31">
      <c r="A82">
        <v>29</v>
      </c>
      <c r="B82" s="7">
        <f t="shared" ca="1" si="4"/>
        <v>0.15924539759123452</v>
      </c>
      <c r="C82" s="7">
        <f t="shared" ca="1" si="2"/>
        <v>0.16</v>
      </c>
      <c r="D82" s="7" t="str">
        <f ca="1">CONCATENATE(C82, "; ", 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C131)</f>
        <v xml:space="preserve">0,16; 0,13; 0,12; 0,12; 0,13; 0,11; 0,12; 0,16; 0,14; 0,15; 0,16; 0,12; 0,12; 0,14; 0,12; 0,13; 0,15; 0,14; 0,15; 0,13; 0,16; 0,13; 0,14; 0,15; 0,13; 0,13; 0,14; 0,16; 0,13; ; ; ; ; ; ; ; ; ; ; ; ; ; ; ; ; ; ; ; ; </v>
      </c>
      <c r="E82" s="7"/>
      <c r="F82" s="7"/>
      <c r="G82" s="7"/>
      <c r="H82" s="7"/>
      <c r="J82" s="7"/>
      <c r="K82" s="7"/>
      <c r="L82" s="7"/>
      <c r="M82" s="7"/>
      <c r="N82" s="7"/>
      <c r="O82" s="7"/>
      <c r="P82" s="5"/>
      <c r="Q82" s="5"/>
      <c r="R82" s="5"/>
      <c r="S82" s="5"/>
      <c r="T82" s="5"/>
      <c r="U82" s="5"/>
      <c r="V82" s="5"/>
      <c r="W82" s="5"/>
    </row>
    <row r="83" spans="1:31">
      <c r="A83">
        <v>28</v>
      </c>
      <c r="B83" s="7">
        <f t="shared" ca="1" si="4"/>
        <v>0.13158484483728577</v>
      </c>
      <c r="C83" s="7">
        <f t="shared" ca="1" si="2"/>
        <v>0.13</v>
      </c>
      <c r="D83" s="7" t="str">
        <f t="shared" ref="D83:D94" ca="1" si="5">CONCATENATE(C83, "; ", 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C131, "; ", C132)</f>
        <v xml:space="preserve">0,13; 0,12; 0,12; 0,13; 0,11; 0,12; 0,16; 0,14; 0,15; 0,16; 0,12; 0,12; 0,14; 0,12; 0,13; 0,15; 0,14; 0,15; 0,13; 0,16; 0,13; 0,14; 0,15; 0,13; 0,13; 0,14; 0,16; 0,13; ; ; ; ; ; ; ; ; ; ; ; ; ; ; ; ; ; ; ; ; ; </v>
      </c>
      <c r="E83" s="7"/>
      <c r="F83" s="7"/>
      <c r="G83" s="7"/>
      <c r="H83" s="7"/>
      <c r="I83" s="5"/>
      <c r="J83" s="7"/>
      <c r="K83" s="7"/>
      <c r="L83" s="7"/>
      <c r="M83" s="7"/>
      <c r="N83" s="7"/>
      <c r="O83" s="7"/>
      <c r="P83" s="5"/>
      <c r="Q83" s="5"/>
      <c r="R83" s="5"/>
      <c r="S83" s="5"/>
      <c r="T83" s="5"/>
      <c r="U83" s="5"/>
      <c r="V83" s="5"/>
      <c r="W83" s="5"/>
    </row>
    <row r="84" spans="1:31">
      <c r="A84">
        <v>27</v>
      </c>
      <c r="B84" s="7">
        <f t="shared" ca="1" si="4"/>
        <v>0.12034273151755388</v>
      </c>
      <c r="C84" s="7">
        <f ca="1">ROUND(B84,2)</f>
        <v>0.12</v>
      </c>
      <c r="D84" s="7" t="str">
        <f ca="1">CONCATENATE(C84, "; ", C85, "; ", C86, "; ", C87, "; ", C88, "; ", C89, "; ", C90, "; ", C91, "; ", C92, "; ", C93, "; ", C94, "; ", C95, "; ", C96, "; ", C97, "; ", C98, "; ", C99, "; ", C100, "; ", C101, "; ", C102, "; ", C103, "; ", C104, "; ", C105, "; ", C106, "; ", C107, "; ", C108, "; ", C109, "; ", C110)</f>
        <v>0,12; 0,12; 0,13; 0,11; 0,12; 0,16; 0,14; 0,15; 0,16; 0,12; 0,12; 0,14; 0,12; 0,13; 0,15; 0,14; 0,15; 0,13; 0,16; 0,13; 0,14; 0,15; 0,13; 0,13; 0,14; 0,16; 0,13</v>
      </c>
      <c r="E84" s="7"/>
      <c r="F84" s="7"/>
      <c r="G84" s="7"/>
      <c r="H84" s="7"/>
      <c r="J84" s="7"/>
      <c r="K84" s="7"/>
      <c r="L84" s="7"/>
      <c r="M84" s="7"/>
      <c r="N84" s="7"/>
      <c r="O84" s="7"/>
      <c r="P84" s="5"/>
      <c r="Q84" s="5"/>
      <c r="R84" s="5"/>
      <c r="S84" s="5"/>
      <c r="T84" s="5"/>
      <c r="U84" s="5"/>
      <c r="V84" s="5"/>
      <c r="W84" s="5"/>
    </row>
    <row r="85" spans="1:31">
      <c r="A85">
        <v>26</v>
      </c>
      <c r="B85" s="7">
        <f t="shared" ca="1" si="4"/>
        <v>0.12338987692484166</v>
      </c>
      <c r="C85" s="7">
        <f t="shared" ca="1" si="2"/>
        <v>0.12</v>
      </c>
      <c r="D85" s="7" t="str">
        <f t="shared" ca="1" si="5"/>
        <v xml:space="preserve">0,12; 0,13; 0,11; 0,12; 0,16; 0,14; 0,15; 0,16; 0,12; 0,12; 0,14; 0,12; 0,13; 0,15; 0,14; 0,15; 0,13; 0,16; 0,13; 0,14; 0,15; 0,13; 0,13; 0,14; 0,16; 0,13; ; ; ; ; ; ; ; ; ; ; ; ; ; ; ; ; ; ; ; ; ; ; ; </v>
      </c>
      <c r="E85" s="7"/>
      <c r="F85" s="7"/>
      <c r="G85" s="7"/>
      <c r="H85" s="7"/>
      <c r="I85" s="5"/>
      <c r="J85" s="7"/>
      <c r="K85" s="7"/>
      <c r="L85" s="7"/>
      <c r="M85" s="7"/>
      <c r="N85" s="7"/>
      <c r="O85" s="7"/>
      <c r="P85" s="5"/>
      <c r="Q85" s="5"/>
      <c r="R85" s="5"/>
      <c r="S85" s="5"/>
      <c r="T85" s="5"/>
      <c r="U85" s="5"/>
      <c r="V85" s="5"/>
      <c r="W85" s="5"/>
    </row>
    <row r="86" spans="1:31">
      <c r="A86" s="42">
        <v>25</v>
      </c>
      <c r="B86" s="7">
        <f t="shared" ca="1" si="4"/>
        <v>0.12627504001825929</v>
      </c>
      <c r="C86" s="25">
        <f t="shared" ca="1" si="2"/>
        <v>0.13</v>
      </c>
      <c r="D86" s="25" t="str">
        <f t="shared" ca="1" si="5"/>
        <v xml:space="preserve">0,13; 0,11; 0,12; 0,16; 0,14; 0,15; 0,16; 0,12; 0,12; 0,14; 0,12; 0,13; 0,15; 0,14; 0,15; 0,13; 0,16; 0,13; 0,14; 0,15; 0,13; 0,13; 0,14; 0,16; 0,13; ; ; ; ; ; ; ; ; ; ; ; ; ; ; ; ; ; ; ; ; ; ; ; ; </v>
      </c>
      <c r="E86" s="25"/>
      <c r="F86" s="25"/>
      <c r="G86" s="25"/>
      <c r="H86" s="25"/>
      <c r="I86" s="42"/>
      <c r="J86" s="25"/>
      <c r="K86" s="25"/>
      <c r="L86" s="25"/>
      <c r="M86" s="25"/>
      <c r="N86" s="25"/>
      <c r="O86" s="25"/>
      <c r="P86" s="18"/>
      <c r="Q86" s="18"/>
      <c r="R86" s="18"/>
      <c r="S86" s="18"/>
      <c r="T86" s="18"/>
      <c r="U86" s="18"/>
      <c r="V86" s="18"/>
      <c r="W86" s="18"/>
      <c r="X86" s="42"/>
      <c r="Y86" s="42"/>
      <c r="Z86" s="42"/>
      <c r="AA86" s="42"/>
      <c r="AB86" s="42"/>
      <c r="AC86" s="42"/>
      <c r="AD86" s="42"/>
      <c r="AE86" s="42"/>
    </row>
    <row r="87" spans="1:31">
      <c r="A87">
        <v>24</v>
      </c>
      <c r="B87" s="7">
        <f t="shared" ca="1" si="4"/>
        <v>0.10630171363129419</v>
      </c>
      <c r="C87" s="7">
        <f t="shared" ca="1" si="2"/>
        <v>0.11</v>
      </c>
      <c r="D87" s="7" t="str">
        <f t="shared" ca="1" si="5"/>
        <v xml:space="preserve">0,11; 0,12; 0,16; 0,14; 0,15; 0,16; 0,12; 0,12; 0,14; 0,12; 0,13; 0,15; 0,14; 0,15; 0,13; 0,16; 0,13; 0,14; 0,15; 0,13; 0,13; 0,14; 0,16; 0,13; ; ; ; ; ; ; ; ; ; ; ; ; ; ; ; ; ; ; ; ; ; ; ; ; ; </v>
      </c>
      <c r="E87" s="7"/>
      <c r="F87" s="7"/>
      <c r="G87" s="7"/>
      <c r="H87" s="7"/>
      <c r="I87" s="5"/>
      <c r="J87" s="7"/>
      <c r="K87" s="7"/>
      <c r="L87" s="7"/>
      <c r="M87" s="7"/>
      <c r="N87" s="7"/>
      <c r="O87" s="7"/>
      <c r="P87" s="5"/>
      <c r="Q87" s="5"/>
      <c r="R87" s="5"/>
      <c r="S87" s="5"/>
      <c r="T87" s="5"/>
      <c r="U87" s="5"/>
      <c r="V87" s="5"/>
      <c r="W87" s="5"/>
    </row>
    <row r="88" spans="1:31">
      <c r="A88">
        <v>23</v>
      </c>
      <c r="B88" s="7">
        <f t="shared" ca="1" si="4"/>
        <v>0.12286712719538295</v>
      </c>
      <c r="C88" s="7">
        <f t="shared" ca="1" si="2"/>
        <v>0.12</v>
      </c>
      <c r="D88" s="7" t="str">
        <f t="shared" ca="1" si="5"/>
        <v xml:space="preserve">0,12; 0,16; 0,14; 0,15; 0,16; 0,12; 0,12; 0,14; 0,12; 0,13; 0,15; 0,14; 0,15; 0,13; 0,16; 0,13; 0,14; 0,15; 0,13; 0,13; 0,14; 0,16; 0,13; ; ; ; ; ; ; ; ; ; ; ; ; ; ; ; ; ; ; ; ; ; ; ; ; ; ; </v>
      </c>
      <c r="E88" s="7"/>
      <c r="F88" s="7"/>
      <c r="G88" s="7"/>
      <c r="H88" s="7"/>
      <c r="J88" s="7"/>
      <c r="K88" s="7"/>
      <c r="L88" s="7"/>
      <c r="M88" s="7"/>
      <c r="N88" s="7"/>
      <c r="O88" s="7"/>
      <c r="P88" s="5"/>
      <c r="Q88" s="5"/>
      <c r="R88" s="5"/>
      <c r="S88" s="5"/>
      <c r="T88" s="5"/>
      <c r="U88" s="5"/>
      <c r="V88" s="5"/>
      <c r="W88" s="5"/>
    </row>
    <row r="89" spans="1:31">
      <c r="A89">
        <v>22</v>
      </c>
      <c r="B89" s="7">
        <f t="shared" ca="1" si="4"/>
        <v>0.15710040317787596</v>
      </c>
      <c r="C89" s="7">
        <f t="shared" ca="1" si="2"/>
        <v>0.16</v>
      </c>
      <c r="D89" s="7" t="str">
        <f t="shared" ca="1" si="5"/>
        <v xml:space="preserve">0,16; 0,14; 0,15; 0,16; 0,12; 0,12; 0,14; 0,12; 0,13; 0,15; 0,14; 0,15; 0,13; 0,16; 0,13; 0,14; 0,15; 0,13; 0,13; 0,14; 0,16; 0,13; ; ; ; ; ; ; ; ; ; ; ; ; ; ; ; ; ; ; ; ; ; ; ; ; ; ; ; </v>
      </c>
      <c r="E89" s="7"/>
      <c r="F89" s="7"/>
      <c r="G89" s="7"/>
      <c r="H89" s="7"/>
      <c r="I89" s="5"/>
      <c r="J89" s="7"/>
      <c r="K89" s="7"/>
      <c r="L89" s="7"/>
      <c r="M89" s="7"/>
      <c r="N89" s="7"/>
      <c r="O89" s="7"/>
      <c r="P89" s="5"/>
      <c r="Q89" s="5"/>
      <c r="R89" s="5"/>
      <c r="S89" s="5"/>
      <c r="T89" s="5"/>
      <c r="U89" s="5"/>
      <c r="V89" s="5"/>
      <c r="W89" s="5"/>
    </row>
    <row r="90" spans="1:31">
      <c r="A90">
        <v>21</v>
      </c>
      <c r="B90" s="7">
        <f t="shared" ca="1" si="4"/>
        <v>0.13614897128623671</v>
      </c>
      <c r="C90" s="7">
        <f t="shared" ca="1" si="2"/>
        <v>0.14000000000000001</v>
      </c>
      <c r="D90" s="7" t="str">
        <f t="shared" ca="1" si="5"/>
        <v xml:space="preserve">0,14; 0,15; 0,16; 0,12; 0,12; 0,14; 0,12; 0,13; 0,15; 0,14; 0,15; 0,13; 0,16; 0,13; 0,14; 0,15; 0,13; 0,13; 0,14; 0,16; 0,13; ; ; ; ; ; ; ; ; ; ; ; ; ; ; ; ; ; ; ; ; ; ; ; ; ; ; ; ; </v>
      </c>
      <c r="E90" s="7"/>
      <c r="F90" s="7"/>
      <c r="G90" s="7"/>
      <c r="H90" s="7"/>
      <c r="J90" s="7"/>
      <c r="K90" s="7"/>
      <c r="L90" s="7"/>
      <c r="M90" s="7"/>
      <c r="N90" s="7"/>
      <c r="O90" s="7"/>
      <c r="P90" s="5"/>
      <c r="Q90" s="5"/>
      <c r="R90" s="5"/>
      <c r="S90" s="5"/>
      <c r="T90" s="5"/>
      <c r="U90" s="5"/>
      <c r="V90" s="5"/>
      <c r="W90" s="5"/>
    </row>
    <row r="91" spans="1:31">
      <c r="A91">
        <v>20</v>
      </c>
      <c r="B91" s="7">
        <f t="shared" ca="1" si="4"/>
        <v>0.14660434773678538</v>
      </c>
      <c r="C91" s="7">
        <f t="shared" ca="1" si="2"/>
        <v>0.15</v>
      </c>
      <c r="D91" s="7" t="str">
        <f ca="1">CONCATENATE(C91, "; ", C92, "; ", C93, "; ", C94, "; ", C95, "; ", C96, "; ", C97, "; ", C98, "; ", C99, "; ", C100, "; ", C101, "; ", C102, "; ", C103, "; ", C104, "; ", C105, "; ", C106, "; ", C107, "; ", C108, "; ", C109, "; ", C110)</f>
        <v>0,15; 0,16; 0,12; 0,12; 0,14; 0,12; 0,13; 0,15; 0,14; 0,15; 0,13; 0,16; 0,13; 0,14; 0,15; 0,13; 0,13; 0,14; 0,16; 0,13</v>
      </c>
      <c r="E91" s="7"/>
      <c r="F91" s="7"/>
      <c r="G91" s="7"/>
      <c r="H91" s="7"/>
      <c r="I91" s="5"/>
      <c r="J91" s="7"/>
      <c r="K91" s="7"/>
      <c r="L91" s="7"/>
      <c r="M91" s="7"/>
      <c r="N91" s="7"/>
      <c r="O91" s="7"/>
      <c r="P91" s="5"/>
      <c r="Q91" s="5"/>
      <c r="R91" s="5"/>
      <c r="S91" s="5"/>
      <c r="T91" s="5"/>
      <c r="U91" s="5"/>
      <c r="V91" s="5"/>
      <c r="W91" s="5"/>
    </row>
    <row r="92" spans="1:31">
      <c r="A92">
        <v>19</v>
      </c>
      <c r="B92" s="7">
        <f t="shared" ca="1" si="4"/>
        <v>0.15864572411971234</v>
      </c>
      <c r="C92" s="7">
        <f t="shared" ca="1" si="2"/>
        <v>0.16</v>
      </c>
      <c r="D92" s="7" t="str">
        <f t="shared" ca="1" si="5"/>
        <v xml:space="preserve">0,16; 0,12; 0,12; 0,14; 0,12; 0,13; 0,15; 0,14; 0,15; 0,13; 0,16; 0,13; 0,14; 0,15; 0,13; 0,13; 0,14; 0,16; 0,13; ; ; ; ; ; ; ; ; ; ; ; ; ; ; ; ; ; ; ; ; ; ; ; ; ; ; ; ; ; ; </v>
      </c>
      <c r="E92" s="7"/>
      <c r="F92" s="7"/>
      <c r="G92" s="7"/>
      <c r="H92" s="7"/>
      <c r="J92" s="7"/>
      <c r="K92" s="7"/>
      <c r="L92" s="7"/>
      <c r="M92" s="7"/>
      <c r="N92" s="7"/>
      <c r="O92" s="7"/>
      <c r="P92" s="5"/>
      <c r="Q92" s="5"/>
      <c r="R92" s="5"/>
      <c r="S92" s="5"/>
      <c r="T92" s="5"/>
      <c r="U92" s="5"/>
      <c r="V92" s="5"/>
      <c r="W92" s="5"/>
    </row>
    <row r="93" spans="1:31">
      <c r="A93">
        <v>18</v>
      </c>
      <c r="B93" s="7">
        <f t="shared" ca="1" si="4"/>
        <v>0.12320050790834447</v>
      </c>
      <c r="C93" s="7">
        <f t="shared" ca="1" si="2"/>
        <v>0.12</v>
      </c>
      <c r="D93" s="7" t="str">
        <f ca="1">CONCATENATE(C93,"; ",C94,"; ",C95,"; ",C96,"; ",C97,"; ",C98,"; ",C99,"; ",C100,"; ",C101,"; ",C102,"; ",C103,"; ",C104,"; ",C105,"; ",C106,"; ",C107,"; ",C108,"; ",C109,"; ",C110)</f>
        <v>0,12; 0,12; 0,14; 0,12; 0,13; 0,15; 0,14; 0,15; 0,13; 0,16; 0,13; 0,14; 0,15; 0,13; 0,13; 0,14; 0,16; 0,13</v>
      </c>
      <c r="E93" s="7"/>
      <c r="F93" s="7"/>
      <c r="G93" s="7"/>
      <c r="H93" s="7"/>
      <c r="I93" s="5"/>
      <c r="J93" s="7"/>
      <c r="K93" s="7"/>
      <c r="L93" s="7"/>
      <c r="M93" s="7"/>
      <c r="N93" s="7"/>
      <c r="O93" s="7"/>
      <c r="P93" s="5"/>
      <c r="Q93" s="5"/>
      <c r="R93" s="5"/>
      <c r="S93" s="5"/>
      <c r="T93" s="5"/>
      <c r="U93" s="5"/>
      <c r="V93" s="5"/>
      <c r="W93" s="5"/>
    </row>
    <row r="94" spans="1:31">
      <c r="A94">
        <v>17</v>
      </c>
      <c r="B94" s="7">
        <f t="shared" ca="1" si="4"/>
        <v>0.12444326711430374</v>
      </c>
      <c r="C94" s="7">
        <f t="shared" ca="1" si="2"/>
        <v>0.12</v>
      </c>
      <c r="D94" s="7" t="str">
        <f t="shared" ca="1" si="5"/>
        <v xml:space="preserve">0,12; 0,14; 0,12; 0,13; 0,15; 0,14; 0,15; 0,13; 0,16; 0,13; 0,14; 0,15; 0,13; 0,13; 0,14; 0,16; 0,13; ; ; ; ; ; ; ; ; ; ; ; ; ; ; ; ; ; ; ; ; ; ; ; ; ; ; ; ; ; ; ; ; </v>
      </c>
      <c r="E94" s="7"/>
      <c r="F94" s="7"/>
      <c r="G94" s="7"/>
      <c r="H94" s="7"/>
      <c r="J94" s="7"/>
      <c r="K94" s="7"/>
      <c r="L94" s="7"/>
      <c r="M94" s="7"/>
      <c r="N94" s="7"/>
      <c r="O94" s="7"/>
      <c r="P94" s="5"/>
      <c r="Q94" s="5"/>
      <c r="R94" s="5"/>
      <c r="S94" s="5"/>
      <c r="T94" s="5"/>
      <c r="U94" s="5"/>
      <c r="V94" s="5"/>
      <c r="W94" s="5"/>
    </row>
    <row r="95" spans="1:31">
      <c r="A95">
        <v>16</v>
      </c>
      <c r="B95" s="7">
        <f t="shared" ca="1" si="4"/>
        <v>0.136715802945993</v>
      </c>
      <c r="C95" s="7">
        <f t="shared" ca="1" si="2"/>
        <v>0.14000000000000001</v>
      </c>
      <c r="D95" s="7" t="str">
        <f ca="1">CONCATENATE(C95, "; ", C96, "; ", 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C131, "; ", C132, "; ", C133, "; ", C134, "; ", C135, "; ", C136, "; ", C137, "; ", C138, "; ", C139, "; ", C140, "; ", C141, "; ", C142, "; ", C143, "; ", C144)</f>
        <v xml:space="preserve">0,14; 0,12; 0,13; 0,15; 0,14; 0,15; 0,13; 0,16; 0,13; 0,14; 0,15; 0,13; 0,13; 0,14; 0,16; 0,13; ; ; ; ; ; ; ; ; ; ; ; ; ; ; ; ; ; ; ; ; ; ; ; ; ; ; ; ; ; ; ; ; ; </v>
      </c>
      <c r="E95" s="7"/>
      <c r="F95" s="7"/>
      <c r="G95" s="7"/>
      <c r="H95" s="7"/>
      <c r="I95" s="5"/>
      <c r="J95" s="7"/>
      <c r="K95" s="7"/>
      <c r="L95" s="7"/>
      <c r="M95" s="7"/>
      <c r="N95" s="7"/>
      <c r="O95" s="7"/>
      <c r="P95" s="5"/>
      <c r="Q95" s="5"/>
      <c r="R95" s="5"/>
      <c r="S95" s="5"/>
      <c r="T95" s="5"/>
      <c r="U95" s="5"/>
      <c r="V95" s="5"/>
      <c r="W95" s="5"/>
    </row>
    <row r="96" spans="1:31">
      <c r="A96">
        <v>15</v>
      </c>
      <c r="B96" s="7">
        <f t="shared" ca="1" si="4"/>
        <v>0.12355792087305852</v>
      </c>
      <c r="C96" s="7">
        <f ca="1">ROUND(B96,2)</f>
        <v>0.12</v>
      </c>
      <c r="D96" s="7" t="str">
        <f ca="1">CONCATENATE(C96, "; ", C97, "; ", C98, "; ", C99, "; ", C100, "; ", C101, "; ", C102, "; ", C103, "; ", C104, "; ", C105, "; ", C106, "; ", C107, "; ", C108, "; ", C109, "; ", C110)</f>
        <v>0,12; 0,13; 0,15; 0,14; 0,15; 0,13; 0,16; 0,13; 0,14; 0,15; 0,13; 0,13; 0,14; 0,16; 0,13</v>
      </c>
      <c r="E96" s="7"/>
      <c r="F96" s="7"/>
      <c r="G96" s="7"/>
      <c r="H96" s="7"/>
      <c r="J96" s="7"/>
      <c r="K96" s="7"/>
      <c r="L96" s="7"/>
      <c r="M96" s="7"/>
      <c r="N96" s="7"/>
      <c r="O96" s="7"/>
      <c r="P96" s="5"/>
      <c r="Q96" s="5"/>
      <c r="R96" s="5"/>
      <c r="S96" s="5"/>
      <c r="T96" s="5"/>
      <c r="U96" s="5"/>
      <c r="V96" s="5"/>
      <c r="W96" s="5"/>
    </row>
    <row r="97" spans="1:31">
      <c r="A97">
        <v>14</v>
      </c>
      <c r="B97" s="7">
        <f t="shared" ca="1" si="4"/>
        <v>0.13291151720834563</v>
      </c>
      <c r="C97" s="7">
        <f t="shared" ca="1" si="2"/>
        <v>0.13</v>
      </c>
      <c r="D97" s="7" t="str">
        <f t="shared" ref="D97:D110" ca="1" si="6">CONCATENATE(C97, "; ", C98, "; ", C99, "; ", C100, "; ", C101, "; ", C102, "; ", C103, "; ", C104, "; ", C105, "; ", C106, "; ", C107, "; ", C108, "; ", C109, "; ", C110, "; ", C111, "; ", C112, "; ", C113, "; ", C114, "; ", C115, "; ", C116, "; ", C117, "; ", C118, "; ", C119, "; ", C120, "; ", C121, "; ", C122, "; ", C123, "; ", C124, "; ", C125, "; ", C126, "; ", C127, "; ", C128, "; ", C129, "; ", C130, "; ", C131, "; ", C132, "; ", C133, "; ", C134, "; ", C135, "; ", C136, "; ", C137, "; ", C138, "; ", C139, "; ", C140, "; ", C141, "; ", C142, "; ", C143, "; ", C144, "; ", C145, "; ", C146)</f>
        <v xml:space="preserve">0,13; 0,15; 0,14; 0,15; 0,13; 0,16; 0,13; 0,14; 0,15; 0,13; 0,13; 0,14; 0,16; 0,13; ; ; ; ; ; ; ; ; ; ; ; ; ; ; ; ; ; ; ; ; ; ; ; ; ; ; ; ; ; ; ; ; ; ; ; </v>
      </c>
      <c r="E97" s="7"/>
      <c r="F97" s="7"/>
      <c r="G97" s="7"/>
      <c r="H97" s="7"/>
      <c r="I97" s="5"/>
      <c r="J97" s="7"/>
      <c r="K97" s="7"/>
      <c r="L97" s="7"/>
      <c r="M97" s="7"/>
      <c r="N97" s="7"/>
      <c r="O97" s="7"/>
      <c r="P97" s="5"/>
      <c r="Q97" s="5"/>
      <c r="R97" s="7"/>
      <c r="S97" s="7"/>
      <c r="T97" s="7"/>
      <c r="U97" s="7"/>
      <c r="V97" s="7"/>
      <c r="W97" s="5"/>
    </row>
    <row r="98" spans="1:31">
      <c r="A98" s="42">
        <v>13</v>
      </c>
      <c r="B98" s="7">
        <f t="shared" ca="1" si="4"/>
        <v>0.14798408201382371</v>
      </c>
      <c r="C98" s="25">
        <f t="shared" ca="1" si="2"/>
        <v>0.15</v>
      </c>
      <c r="D98" s="25" t="str">
        <f ca="1">CONCATENATE(C98, "; ", C99, "; ", C100, "; ", C101, "; ", C102, "; ", C103, "; ", C104, "; ", C105, "; ", C106, "; ", C107, "; ", C108, "; ", C109, "; ", C110)</f>
        <v>0,15; 0,14; 0,15; 0,13; 0,16; 0,13; 0,14; 0,15; 0,13; 0,13; 0,14; 0,16; 0,13</v>
      </c>
      <c r="E98" s="25"/>
      <c r="F98" s="25"/>
      <c r="G98" s="25"/>
      <c r="H98" s="25"/>
      <c r="I98" s="42"/>
      <c r="J98" s="25"/>
      <c r="K98" s="25"/>
      <c r="L98" s="25"/>
      <c r="M98" s="25"/>
      <c r="N98" s="25"/>
      <c r="O98" s="25"/>
      <c r="P98" s="18"/>
      <c r="Q98" s="18"/>
      <c r="R98" s="25"/>
      <c r="S98" s="25"/>
      <c r="T98" s="25"/>
      <c r="U98" s="25"/>
      <c r="V98" s="25"/>
      <c r="W98" s="18"/>
      <c r="X98" s="42"/>
      <c r="Y98" s="42"/>
      <c r="Z98" s="42"/>
      <c r="AA98" s="42"/>
      <c r="AB98" s="42"/>
      <c r="AC98" s="42"/>
      <c r="AD98" s="42"/>
      <c r="AE98" s="42"/>
    </row>
    <row r="99" spans="1:31">
      <c r="A99">
        <v>12</v>
      </c>
      <c r="B99" s="7">
        <f t="shared" ca="1" si="4"/>
        <v>0.13836999840634673</v>
      </c>
      <c r="C99" s="7">
        <f t="shared" ca="1" si="2"/>
        <v>0.14000000000000001</v>
      </c>
      <c r="D99" s="7" t="str">
        <f ca="1">CONCATENATE(C99, "; ", C100, "; ", C101, "; ", C102, "; ", C103, "; ", C104, "; ", C105, "; ", C106, "; ", C107, "; ", C108, "; ", C109, "; ", C110)</f>
        <v>0,14; 0,15; 0,13; 0,16; 0,13; 0,14; 0,15; 0,13; 0,13; 0,14; 0,16; 0,13</v>
      </c>
      <c r="E99" s="7"/>
      <c r="F99" s="7"/>
      <c r="G99" s="7"/>
      <c r="H99" s="7"/>
      <c r="I99" s="5"/>
      <c r="J99" s="7"/>
      <c r="K99" s="7"/>
      <c r="L99" s="7"/>
      <c r="M99" s="7"/>
      <c r="N99" s="7"/>
      <c r="O99" s="7"/>
      <c r="P99" s="5"/>
      <c r="Q99" s="5"/>
      <c r="R99" s="7"/>
      <c r="S99" s="7"/>
      <c r="T99" s="7"/>
      <c r="U99" s="5"/>
      <c r="V99" s="5"/>
      <c r="W99" s="5"/>
    </row>
    <row r="100" spans="1:31">
      <c r="A100">
        <v>11</v>
      </c>
      <c r="B100" s="7">
        <f t="shared" ca="1" si="4"/>
        <v>0.14602910666376115</v>
      </c>
      <c r="C100" s="7">
        <f t="shared" ca="1" si="2"/>
        <v>0.15</v>
      </c>
      <c r="D100" s="7" t="str">
        <f t="shared" ca="1" si="6"/>
        <v xml:space="preserve">0,15; 0,13; 0,16; 0,13; 0,14; 0,15; 0,13; 0,13; 0,14; 0,16; 0,13; ; ; ; ; ; ; ; ; ; ; ; ; ; ; ; ; ; ; ; ; ; ; ; ; ; ; ; ; ; ; ; ; ; ; ; ; ; ; </v>
      </c>
      <c r="E100" s="7"/>
      <c r="F100" s="7"/>
      <c r="G100" s="7"/>
      <c r="H100" s="7"/>
      <c r="J100" s="7"/>
      <c r="K100" s="7"/>
      <c r="L100" s="7"/>
      <c r="M100" s="7"/>
      <c r="N100" s="7"/>
      <c r="O100" s="7"/>
      <c r="P100" s="5"/>
      <c r="Q100" s="5"/>
      <c r="R100" s="7"/>
      <c r="S100" s="7"/>
      <c r="T100" s="7"/>
      <c r="U100" s="5"/>
      <c r="V100" s="5"/>
      <c r="W100" s="5"/>
    </row>
    <row r="101" spans="1:31">
      <c r="A101">
        <v>10</v>
      </c>
      <c r="B101" s="7">
        <f t="shared" ca="1" si="4"/>
        <v>0.13348398382119925</v>
      </c>
      <c r="C101" s="7">
        <f ca="1">ROUND(B101,2)</f>
        <v>0.13</v>
      </c>
      <c r="D101" s="7" t="str">
        <f ca="1">CONCATENATE(C101, "; ", C102, "; ", C103, "; ", C104, "; ", C105, "; ", C106, "; ", C107, "; ", C108, "; ", C109, "; ", C110)</f>
        <v>0,13; 0,16; 0,13; 0,14; 0,15; 0,13; 0,13; 0,14; 0,16; 0,13</v>
      </c>
      <c r="E101" s="7"/>
      <c r="F101" s="7"/>
      <c r="G101" s="7"/>
      <c r="H101" s="7"/>
      <c r="I101" s="5"/>
      <c r="J101" s="7"/>
      <c r="K101" s="7"/>
      <c r="L101" s="7"/>
      <c r="M101" s="7"/>
      <c r="N101" s="7"/>
      <c r="O101" s="7"/>
      <c r="P101" s="5"/>
      <c r="Q101" s="5"/>
      <c r="R101" s="7"/>
      <c r="S101" s="7"/>
      <c r="T101" s="7"/>
      <c r="U101" s="5"/>
      <c r="V101" s="5"/>
      <c r="W101" s="5"/>
    </row>
    <row r="102" spans="1:31">
      <c r="A102">
        <v>9</v>
      </c>
      <c r="B102" s="7">
        <f t="shared" ca="1" si="4"/>
        <v>0.15807645235650344</v>
      </c>
      <c r="C102" s="7">
        <f t="shared" ca="1" si="2"/>
        <v>0.16</v>
      </c>
      <c r="D102" s="7" t="str">
        <f t="shared" ca="1" si="6"/>
        <v xml:space="preserve">0,16; 0,13; 0,14; 0,15; 0,13; 0,13; 0,14; 0,16; 0,13; ; ; ; ; ; ; ; ; ; ; ; ; ; ; ; ; ; ; ; ; ; ; ; ; ; ; ; ; ; ; ; ; ; ; ; ; ; ; ; ; </v>
      </c>
      <c r="E102" s="7"/>
      <c r="F102" s="7"/>
      <c r="G102" s="7"/>
      <c r="H102" s="7"/>
      <c r="J102" s="7"/>
      <c r="K102" s="7"/>
      <c r="L102" s="7"/>
      <c r="M102" s="7"/>
      <c r="N102" s="7"/>
      <c r="O102" s="7"/>
      <c r="P102" s="5"/>
      <c r="Q102" s="5"/>
      <c r="R102" s="7"/>
      <c r="S102" s="7"/>
      <c r="T102" s="7"/>
      <c r="U102" s="5"/>
      <c r="V102" s="5"/>
      <c r="W102" s="5"/>
    </row>
    <row r="103" spans="1:31">
      <c r="A103">
        <v>8</v>
      </c>
      <c r="B103" s="7">
        <f t="shared" ca="1" si="4"/>
        <v>0.12606153879110599</v>
      </c>
      <c r="C103" s="7">
        <f t="shared" ca="1" si="2"/>
        <v>0.13</v>
      </c>
      <c r="D103" s="7" t="str">
        <f t="shared" ca="1" si="6"/>
        <v xml:space="preserve">0,13; 0,14; 0,15; 0,13; 0,13; 0,14; 0,16; 0,13; ; ; ; ; ; ; ; ; ; ; ; ; ; ; ; ; ; ; ; ; ; ; ; ; ; ; ; ; ; ; ; ; ; ; ; ; ; ; ; ; ; </v>
      </c>
      <c r="E103" s="7"/>
      <c r="F103" s="7"/>
      <c r="G103" s="7"/>
      <c r="H103" s="7"/>
      <c r="I103" s="5"/>
      <c r="J103" s="7"/>
      <c r="K103" s="7"/>
      <c r="L103" s="7"/>
      <c r="M103" s="7"/>
      <c r="N103" s="7"/>
      <c r="O103" s="7"/>
      <c r="P103" s="5"/>
      <c r="Q103" s="5"/>
      <c r="R103" s="7"/>
      <c r="S103" s="7"/>
      <c r="T103" s="7"/>
      <c r="U103" s="5"/>
      <c r="V103" s="5"/>
      <c r="W103" s="5"/>
    </row>
    <row r="104" spans="1:31">
      <c r="A104">
        <v>7</v>
      </c>
      <c r="B104" s="7">
        <f t="shared" ref="B104:B110" ca="1" si="7">0.1 + (0.21-0.1) * _xlfn.BETA.INV(RAND(), 3, 5.916)</f>
        <v>0.13554735355243586</v>
      </c>
      <c r="C104" s="7">
        <f t="shared" ca="1" si="2"/>
        <v>0.14000000000000001</v>
      </c>
      <c r="D104" s="7" t="str">
        <f t="shared" ca="1" si="6"/>
        <v xml:space="preserve">0,14; 0,15; 0,13; 0,13; 0,14; 0,16; 0,13; ; ; ; ; ; ; ; ; ; ; ; ; ; ; ; ; ; ; ; ; ; ; ; ; ; ; ; ; ; ; ; ; ; ; ; ; ; ; ; ; ; ; </v>
      </c>
      <c r="E104" s="7"/>
      <c r="F104" s="7"/>
      <c r="G104" s="7"/>
      <c r="H104" s="7"/>
      <c r="J104" s="7"/>
      <c r="K104" s="7"/>
      <c r="L104" s="7"/>
      <c r="M104" s="7"/>
      <c r="N104" s="7"/>
      <c r="O104" s="7"/>
      <c r="P104" s="5"/>
      <c r="Q104" s="5"/>
      <c r="R104" s="7"/>
      <c r="S104" s="7"/>
      <c r="T104" s="7"/>
      <c r="U104" s="5"/>
      <c r="V104" s="5"/>
      <c r="W104" s="5"/>
    </row>
    <row r="105" spans="1:31">
      <c r="A105">
        <v>6</v>
      </c>
      <c r="B105" s="7">
        <f t="shared" ca="1" si="7"/>
        <v>0.15195854943913026</v>
      </c>
      <c r="C105" s="7">
        <f ca="1">ROUND(B105,2)</f>
        <v>0.15</v>
      </c>
      <c r="D105" s="7" t="str">
        <f ca="1">CONCATENATE(C105, "; ", C106, "; ", C107, "; ", C108, "; ", C109, "; ", C110)</f>
        <v>0,15; 0,13; 0,13; 0,14; 0,16; 0,13</v>
      </c>
      <c r="E105" s="7"/>
      <c r="F105" s="7"/>
      <c r="G105" s="7"/>
      <c r="H105" s="7"/>
      <c r="I105" s="5"/>
      <c r="J105" s="7"/>
      <c r="K105" s="7"/>
      <c r="L105" s="7"/>
      <c r="M105" s="7"/>
      <c r="N105" s="7"/>
      <c r="O105" s="7"/>
      <c r="P105" s="5"/>
      <c r="Q105" s="5"/>
      <c r="R105" s="7"/>
      <c r="S105" s="7"/>
      <c r="T105" s="7"/>
      <c r="U105" s="5">
        <v>1</v>
      </c>
      <c r="V105" s="5"/>
      <c r="W105" s="5"/>
    </row>
    <row r="106" spans="1:31">
      <c r="A106">
        <v>5</v>
      </c>
      <c r="B106" s="7">
        <f t="shared" ca="1" si="7"/>
        <v>0.12541836898264247</v>
      </c>
      <c r="C106" s="7">
        <f t="shared" ca="1" si="2"/>
        <v>0.13</v>
      </c>
      <c r="D106" s="7" t="str">
        <f t="shared" ca="1" si="6"/>
        <v xml:space="preserve">0,13; 0,13; 0,14; 0,16; 0,13; ; ; ; ; ; ; ; ; ; ; ; ; ; ; ; ; ; ; ; ; ; ; ; ; ; ; ; ; ; ; ; ; ; ; ; ; ; ; ; ; ; ; ; ; </v>
      </c>
      <c r="E106" s="7"/>
      <c r="F106" s="7"/>
      <c r="G106" s="7"/>
      <c r="H106" s="7"/>
      <c r="J106" s="7"/>
      <c r="K106" s="7"/>
      <c r="L106" s="7"/>
      <c r="M106" s="7"/>
      <c r="N106" s="7"/>
      <c r="O106" s="7"/>
      <c r="P106" s="5"/>
      <c r="Q106" s="5"/>
      <c r="R106" s="7"/>
      <c r="S106" s="7"/>
      <c r="T106" s="7"/>
      <c r="U106" s="5"/>
      <c r="V106" s="5"/>
      <c r="W106" s="5"/>
    </row>
    <row r="107" spans="1:31">
      <c r="A107">
        <v>4</v>
      </c>
      <c r="B107" s="7">
        <f t="shared" ca="1" si="7"/>
        <v>0.12725492610728056</v>
      </c>
      <c r="C107" s="7">
        <f t="shared" ca="1" si="2"/>
        <v>0.13</v>
      </c>
      <c r="D107" s="7" t="str">
        <f t="shared" ca="1" si="6"/>
        <v xml:space="preserve">0,13; 0,14; 0,16; 0,13; ; ; ; ; ; ; ; ; ; ; ; ; ; ; ; ; ; ; ; ; ; ; ; ; ; ; ; ; ; ; ; ; ; ; ; ; ; ; ; ; ; ; ; ; ; </v>
      </c>
      <c r="E107" s="7"/>
      <c r="F107" s="7"/>
      <c r="G107" s="7"/>
      <c r="H107" s="7"/>
      <c r="I107" s="5"/>
      <c r="J107" s="7"/>
      <c r="K107" s="7"/>
      <c r="L107" s="7"/>
      <c r="M107" s="7"/>
      <c r="N107" s="7"/>
      <c r="O107" s="7"/>
      <c r="P107" s="5"/>
      <c r="Q107" s="5"/>
      <c r="R107" s="7"/>
      <c r="S107" s="7"/>
      <c r="T107" s="7"/>
      <c r="U107" s="5"/>
      <c r="V107" s="5"/>
      <c r="W107" s="5"/>
    </row>
    <row r="108" spans="1:31">
      <c r="A108">
        <v>3</v>
      </c>
      <c r="B108" s="7">
        <f t="shared" ca="1" si="7"/>
        <v>0.13800456046768514</v>
      </c>
      <c r="C108" s="7">
        <f t="shared" ca="1" si="2"/>
        <v>0.14000000000000001</v>
      </c>
      <c r="D108" s="7" t="str">
        <f t="shared" ca="1" si="6"/>
        <v xml:space="preserve">0,14; 0,16; 0,13; ; ; ; ; ; ; ; ; ; ; ; ; ; ; ; ; ; ; ; ; ; ; ; ; ; ; ; ; ; ; ; ; ; ; ; ; ; ; ; ; ; ; ; ; ; ; </v>
      </c>
      <c r="E108" s="7"/>
      <c r="F108" s="7"/>
      <c r="G108" s="7"/>
      <c r="H108" s="7"/>
      <c r="J108" s="7"/>
      <c r="K108" s="7"/>
      <c r="L108" s="7"/>
      <c r="M108" s="7"/>
      <c r="N108" s="7"/>
      <c r="O108" s="7"/>
      <c r="P108" s="5"/>
      <c r="Q108" s="5"/>
      <c r="R108" s="7"/>
      <c r="S108" s="7"/>
      <c r="T108" s="7"/>
      <c r="U108" s="5"/>
      <c r="V108" s="5"/>
      <c r="W108" s="5"/>
    </row>
    <row r="109" spans="1:31">
      <c r="A109">
        <v>2</v>
      </c>
      <c r="B109" s="7">
        <f t="shared" ca="1" si="7"/>
        <v>0.16243068770419006</v>
      </c>
      <c r="C109" s="7">
        <f t="shared" ca="1" si="2"/>
        <v>0.16</v>
      </c>
      <c r="D109" s="7" t="str">
        <f t="shared" ca="1" si="6"/>
        <v xml:space="preserve">0,16; 0,13; ; ; ; ; ; ; ; ; ; ; ; ; ; ; ; ; ; ; ; ; ; ; ; ; ; ; ; ; ; ; ; ; ; ; ; ; ; ; ; ; ; ; ; ; ; ; ; </v>
      </c>
      <c r="E109" s="7"/>
      <c r="F109" s="7"/>
      <c r="G109" s="7"/>
      <c r="H109" s="7"/>
      <c r="I109" s="5"/>
      <c r="J109" s="7"/>
      <c r="K109" s="7"/>
      <c r="L109" s="7"/>
      <c r="M109" s="7"/>
      <c r="N109" s="7"/>
      <c r="O109" s="7"/>
      <c r="P109" s="5"/>
      <c r="Q109" s="5"/>
      <c r="R109" s="7"/>
      <c r="S109" s="7"/>
      <c r="T109" s="7"/>
      <c r="U109" s="5"/>
      <c r="V109" s="5"/>
      <c r="W109" s="5"/>
    </row>
    <row r="110" spans="1:31">
      <c r="A110">
        <v>1</v>
      </c>
      <c r="B110" s="7">
        <f t="shared" ca="1" si="7"/>
        <v>0.12949737592677052</v>
      </c>
      <c r="C110" s="7">
        <f t="shared" ca="1" si="2"/>
        <v>0.13</v>
      </c>
      <c r="D110" s="7" t="str">
        <f t="shared" ca="1" si="6"/>
        <v xml:space="preserve">0,13; ; ; ; ; ; ; ; ; ; ; ; ; ; ; ; ; ; ; ; ; ; ; ; ; ; ; ; ; ; ; ; ; ; ; ; ; ; ; ; ; ; ; ; ; ; ; ; ; </v>
      </c>
      <c r="E110" s="7"/>
      <c r="F110" s="7"/>
      <c r="G110" s="7"/>
      <c r="H110" s="7"/>
      <c r="J110" s="7"/>
      <c r="K110" s="7"/>
      <c r="L110" s="7"/>
      <c r="M110" s="7"/>
      <c r="N110" s="7"/>
      <c r="O110" s="7"/>
      <c r="P110" s="5"/>
      <c r="Q110" s="5"/>
      <c r="R110" s="7"/>
      <c r="S110" s="7"/>
      <c r="T110" s="7"/>
      <c r="U110" s="5"/>
      <c r="V110" s="5"/>
      <c r="W110" s="5"/>
    </row>
    <row r="111" spans="1:31">
      <c r="B111" s="7"/>
      <c r="C111" s="7"/>
      <c r="D111" s="7"/>
      <c r="E111" s="7"/>
      <c r="F111" s="7"/>
      <c r="G111" s="7"/>
      <c r="H111" s="7"/>
      <c r="I111" s="5"/>
      <c r="J111" s="7"/>
      <c r="K111" s="7"/>
      <c r="L111" s="7"/>
    </row>
    <row r="112" spans="1:31">
      <c r="B112" s="7"/>
      <c r="C112" s="7"/>
      <c r="D112" s="7"/>
      <c r="E112" s="7"/>
      <c r="F112" s="7"/>
      <c r="G112" s="7"/>
      <c r="H112" s="7"/>
      <c r="J112" s="7"/>
      <c r="K112" s="7"/>
      <c r="L112" s="7"/>
    </row>
    <row r="113" spans="2:12">
      <c r="B113" s="7"/>
      <c r="C113" s="7"/>
      <c r="D113" s="7"/>
      <c r="E113" s="7"/>
      <c r="F113" s="7"/>
      <c r="G113" s="7"/>
      <c r="H113" s="7"/>
      <c r="I113" s="5"/>
      <c r="J113" s="7"/>
      <c r="K113" s="7"/>
      <c r="L113" s="7"/>
    </row>
    <row r="114" spans="2:12">
      <c r="B114" s="7"/>
      <c r="C114" s="7"/>
      <c r="D114" s="7"/>
      <c r="E114" s="7"/>
      <c r="F114" s="7"/>
      <c r="G114" s="7"/>
      <c r="H114" s="7"/>
      <c r="J114" s="7"/>
      <c r="K114" s="7"/>
      <c r="L114" s="7"/>
    </row>
    <row r="115" spans="2:12">
      <c r="B115" s="7"/>
      <c r="C115" s="7"/>
      <c r="D115" s="7"/>
      <c r="E115" s="7"/>
      <c r="F115" s="7"/>
      <c r="G115" s="7"/>
      <c r="H115" s="7"/>
      <c r="I115" s="5"/>
      <c r="J115" s="7"/>
      <c r="K115" s="7"/>
      <c r="L115" s="7"/>
    </row>
    <row r="116" spans="2:12">
      <c r="B116" s="7"/>
      <c r="C116" s="7"/>
      <c r="D116" s="7"/>
      <c r="E116" s="7"/>
      <c r="F116" s="7"/>
      <c r="G116" s="7"/>
      <c r="H116" s="7"/>
      <c r="J116" s="7"/>
      <c r="K116" s="7"/>
      <c r="L116" s="7"/>
    </row>
    <row r="117" spans="2:12">
      <c r="B117" s="7"/>
      <c r="C117" s="7"/>
      <c r="D117" s="7"/>
      <c r="E117" s="7"/>
      <c r="F117" s="7"/>
      <c r="G117" s="7"/>
      <c r="H117" s="7"/>
      <c r="I117" s="5"/>
      <c r="J117" s="7"/>
      <c r="K117" s="7"/>
      <c r="L117" s="7"/>
    </row>
    <row r="118" spans="2:12">
      <c r="B118" s="7"/>
      <c r="C118" s="7"/>
      <c r="D118" s="7"/>
      <c r="E118" s="7"/>
      <c r="F118" s="7"/>
      <c r="G118" s="7"/>
      <c r="H118" s="7"/>
      <c r="J118" s="7"/>
      <c r="K118" s="7"/>
      <c r="L118" s="7"/>
    </row>
    <row r="119" spans="2:12">
      <c r="B119" s="7"/>
      <c r="C119" s="7"/>
      <c r="D119" s="7"/>
      <c r="E119" s="7"/>
      <c r="F119" s="7"/>
      <c r="G119" s="7"/>
      <c r="H119" s="7"/>
      <c r="I119" s="5"/>
      <c r="J119" s="7"/>
      <c r="K119" s="7"/>
      <c r="L119" s="7"/>
    </row>
    <row r="120" spans="2:12">
      <c r="B120" s="7"/>
      <c r="C120" s="7"/>
      <c r="D120" s="7"/>
      <c r="E120" s="7"/>
      <c r="F120" s="7"/>
      <c r="G120" s="7"/>
      <c r="H120" s="7"/>
      <c r="J120" s="7"/>
      <c r="K120" s="7"/>
      <c r="L120" s="7"/>
    </row>
    <row r="121" spans="2:12">
      <c r="B121" s="7"/>
      <c r="C121" s="7"/>
      <c r="D121" s="7"/>
      <c r="E121" s="7"/>
      <c r="F121" s="7"/>
      <c r="G121" s="7"/>
      <c r="H121" s="7"/>
      <c r="I121" s="5"/>
      <c r="J121" s="7"/>
      <c r="K121" s="7"/>
      <c r="L121" s="7"/>
    </row>
    <row r="122" spans="2:12">
      <c r="B122" s="7"/>
      <c r="C122" s="7"/>
      <c r="D122" s="7"/>
      <c r="E122" s="7"/>
      <c r="F122" s="7"/>
      <c r="G122" s="7"/>
      <c r="H122" s="7"/>
      <c r="J122" s="7"/>
      <c r="K122" s="7"/>
      <c r="L122" s="7"/>
    </row>
    <row r="123" spans="2:12">
      <c r="B123" s="7"/>
      <c r="C123" s="7"/>
      <c r="D123" s="7"/>
      <c r="E123" s="7"/>
      <c r="F123" s="7"/>
      <c r="G123" s="7"/>
      <c r="H123" s="7"/>
      <c r="I123" s="5"/>
      <c r="J123" s="7"/>
      <c r="K123" s="7"/>
      <c r="L123" s="7"/>
    </row>
    <row r="124" spans="2:12">
      <c r="B124" s="7"/>
      <c r="C124" s="7"/>
      <c r="D124" s="7"/>
      <c r="E124" s="7"/>
      <c r="F124" s="7"/>
      <c r="G124" s="7"/>
      <c r="H124" s="7"/>
      <c r="J124" s="7"/>
      <c r="K124" s="7"/>
      <c r="L124" s="7"/>
    </row>
    <row r="125" spans="2:12">
      <c r="B125" s="7"/>
      <c r="C125" s="7"/>
      <c r="D125" s="7"/>
      <c r="E125" s="7"/>
      <c r="F125" s="7"/>
      <c r="G125" s="7"/>
      <c r="H125" s="7"/>
      <c r="I125" s="5"/>
      <c r="J125" s="7"/>
      <c r="K125" s="7"/>
      <c r="L125" s="7"/>
    </row>
    <row r="126" spans="2:12">
      <c r="B126" s="7"/>
      <c r="C126" s="7"/>
      <c r="D126" s="7"/>
      <c r="E126" s="7"/>
      <c r="F126" s="7"/>
      <c r="G126" s="7"/>
      <c r="H126" s="7"/>
      <c r="J126" s="7"/>
      <c r="K126" s="7"/>
      <c r="L126" s="7"/>
    </row>
    <row r="127" spans="2:12">
      <c r="B127" s="7"/>
      <c r="C127" s="7"/>
      <c r="D127" s="7"/>
      <c r="E127" s="7"/>
      <c r="F127" s="7"/>
      <c r="G127" s="7"/>
      <c r="H127" s="7"/>
      <c r="I127" s="5"/>
      <c r="J127" s="7"/>
      <c r="K127" s="7"/>
      <c r="L127" s="7"/>
    </row>
    <row r="128" spans="2:12">
      <c r="B128" s="7"/>
      <c r="C128" s="7"/>
      <c r="D128" s="7"/>
      <c r="E128" s="7"/>
      <c r="F128" s="7"/>
      <c r="G128" s="7"/>
      <c r="H128" s="7"/>
      <c r="J128" s="7"/>
      <c r="K128" s="7"/>
      <c r="L128" s="7"/>
    </row>
    <row r="129" spans="2:12">
      <c r="B129" s="7"/>
      <c r="C129" s="7"/>
      <c r="D129" s="7"/>
      <c r="E129" s="7"/>
      <c r="F129" s="7"/>
      <c r="G129" s="7"/>
      <c r="H129" s="7"/>
      <c r="I129" s="5"/>
      <c r="J129" s="7"/>
      <c r="K129" s="7"/>
      <c r="L129" s="7"/>
    </row>
    <row r="130" spans="2:12">
      <c r="B130" s="7"/>
      <c r="C130" s="7"/>
      <c r="D130" s="7"/>
      <c r="E130" s="7"/>
      <c r="F130" s="7"/>
      <c r="G130" s="7"/>
      <c r="H130" s="7"/>
      <c r="J130" s="7"/>
      <c r="K130" s="7"/>
      <c r="L130" s="7"/>
    </row>
    <row r="131" spans="2:12">
      <c r="B131" s="7"/>
      <c r="C131" s="7"/>
      <c r="D131" s="7"/>
      <c r="E131" s="7"/>
      <c r="F131" s="7"/>
      <c r="G131" s="7"/>
      <c r="H131" s="7"/>
      <c r="I131" s="5"/>
    </row>
    <row r="132" spans="2:12">
      <c r="B132" s="7"/>
      <c r="C132" s="7"/>
      <c r="D132" s="7"/>
      <c r="E132" s="7"/>
      <c r="F132" s="7"/>
      <c r="G132" s="7"/>
      <c r="H132" s="7"/>
    </row>
    <row r="133" spans="2:12">
      <c r="B133" s="7"/>
      <c r="C133" s="7"/>
      <c r="D133" s="7"/>
      <c r="E133" s="7"/>
      <c r="F133" s="7"/>
      <c r="G133" s="7"/>
      <c r="H133" s="7"/>
      <c r="I133" s="5"/>
    </row>
    <row r="134" spans="2:12">
      <c r="B134" s="7"/>
      <c r="C134" s="7"/>
      <c r="D134" s="7"/>
      <c r="E134" s="7"/>
      <c r="F134" s="7"/>
      <c r="G134" s="7"/>
      <c r="H134" s="7"/>
    </row>
    <row r="135" spans="2:12">
      <c r="B135" s="7"/>
      <c r="C135" s="7"/>
      <c r="D135" s="7"/>
      <c r="E135" s="7"/>
      <c r="F135" s="7"/>
      <c r="G135" s="7"/>
      <c r="H135" s="7"/>
      <c r="I135" s="5"/>
    </row>
    <row r="136" spans="2:12">
      <c r="B136" s="7"/>
      <c r="C136" s="7"/>
      <c r="D136" s="7"/>
      <c r="E136" s="7"/>
      <c r="F136" s="7"/>
      <c r="G136" s="7"/>
      <c r="H136" s="7"/>
    </row>
    <row r="137" spans="2:12">
      <c r="B137" s="7"/>
      <c r="C137" s="7"/>
      <c r="D137" s="7"/>
      <c r="E137" s="7"/>
      <c r="F137" s="7"/>
      <c r="G137" s="7"/>
      <c r="H137" s="7"/>
      <c r="I137" s="5"/>
    </row>
    <row r="138" spans="2:12">
      <c r="B138" s="7"/>
      <c r="C138" s="7"/>
      <c r="D138" s="7"/>
      <c r="E138" s="7"/>
      <c r="F138" s="7"/>
      <c r="G138" s="7"/>
      <c r="H138" s="7"/>
    </row>
    <row r="139" spans="2:12">
      <c r="B139" s="7"/>
      <c r="C139" s="7"/>
      <c r="D139" s="7"/>
      <c r="E139" s="7"/>
      <c r="F139" s="7"/>
      <c r="G139" s="7"/>
      <c r="H139" s="7"/>
      <c r="I139" s="5"/>
    </row>
    <row r="140" spans="2:12">
      <c r="B140" s="7"/>
      <c r="C140" s="7"/>
      <c r="D140" s="7"/>
      <c r="E140" s="7"/>
      <c r="F140" s="7"/>
      <c r="G140" s="7"/>
      <c r="H140" s="7"/>
    </row>
    <row r="141" spans="2:12">
      <c r="B141" s="7"/>
      <c r="C141" s="7"/>
      <c r="D141" s="7"/>
      <c r="E141" s="7"/>
      <c r="F141" s="7"/>
      <c r="G141" s="7"/>
      <c r="H141" s="7"/>
      <c r="I141" s="5"/>
    </row>
    <row r="142" spans="2:12">
      <c r="B142" s="7"/>
      <c r="C142" s="7"/>
      <c r="D142" s="7"/>
      <c r="E142" s="7"/>
      <c r="F142" s="7"/>
      <c r="G142" s="7"/>
      <c r="H142" s="7"/>
    </row>
    <row r="143" spans="2:12">
      <c r="B143" s="7"/>
      <c r="C143" s="7"/>
      <c r="D143" s="7"/>
      <c r="E143" s="7"/>
      <c r="F143" s="7"/>
      <c r="G143" s="7"/>
      <c r="H143" s="7"/>
      <c r="I143" s="5"/>
    </row>
    <row r="144" spans="2:12">
      <c r="B144" s="7"/>
      <c r="C144" s="7"/>
      <c r="D144" s="7"/>
      <c r="E144" s="7"/>
      <c r="F144" s="7"/>
      <c r="G144" s="7"/>
      <c r="H144" s="7"/>
    </row>
    <row r="145" spans="2:9">
      <c r="B145" s="7"/>
      <c r="C145" s="7"/>
      <c r="D145" s="7"/>
      <c r="E145" s="7"/>
      <c r="F145" s="7"/>
      <c r="G145" s="7"/>
      <c r="H145" s="7"/>
      <c r="I145" s="5"/>
    </row>
    <row r="146" spans="2:9">
      <c r="B146" s="7"/>
      <c r="C146" s="7"/>
      <c r="D146" s="7"/>
      <c r="E146" s="7"/>
      <c r="F146" s="7"/>
      <c r="G146" s="7"/>
      <c r="H146" s="7"/>
    </row>
    <row r="147" spans="2:9">
      <c r="B147" s="5"/>
      <c r="C147" s="5"/>
      <c r="D147" s="5"/>
      <c r="E147" s="5"/>
      <c r="F147" s="5"/>
      <c r="G147" s="5"/>
      <c r="H147" s="5"/>
    </row>
    <row r="148" spans="2:9">
      <c r="B148" s="5"/>
      <c r="C148" s="5"/>
      <c r="D148" s="5"/>
      <c r="E148" s="5"/>
      <c r="F148" s="5"/>
      <c r="G148" s="5"/>
      <c r="H148" s="5"/>
    </row>
    <row r="149" spans="2:9">
      <c r="B149" s="5"/>
      <c r="C149" s="5"/>
      <c r="D149" s="5"/>
      <c r="E149" s="5"/>
      <c r="F149" s="5"/>
      <c r="G149" s="5"/>
      <c r="H149" s="5"/>
    </row>
    <row r="150" spans="2:9">
      <c r="B150" s="5"/>
      <c r="C150" s="5"/>
      <c r="D150" s="5"/>
      <c r="E150" s="5"/>
      <c r="F150" s="5"/>
      <c r="G150" s="5"/>
      <c r="H150" s="5"/>
    </row>
    <row r="151" spans="2:9">
      <c r="B151" s="5"/>
      <c r="C151" s="5"/>
      <c r="D151" s="5"/>
      <c r="E151" s="5"/>
      <c r="F151" s="5"/>
      <c r="G151" s="5"/>
      <c r="H151" s="5"/>
    </row>
    <row r="152" spans="2:9">
      <c r="B152" s="5"/>
      <c r="C152" s="5"/>
      <c r="D152" s="5"/>
      <c r="E152" s="5"/>
      <c r="F152" s="5"/>
      <c r="G152" s="5"/>
      <c r="H152" s="5"/>
    </row>
    <row r="153" spans="2:9">
      <c r="B153" s="5"/>
      <c r="C153" s="5"/>
      <c r="D153" s="5"/>
      <c r="E153" s="5"/>
      <c r="F153" s="5"/>
      <c r="G153" s="5"/>
      <c r="H153" s="5"/>
    </row>
    <row r="154" spans="2:9">
      <c r="B154" s="5"/>
      <c r="C154" s="5"/>
      <c r="D154" s="5"/>
      <c r="E154" s="5"/>
      <c r="F154" s="5"/>
      <c r="G154" s="5"/>
      <c r="H154" s="5"/>
    </row>
    <row r="155" spans="2:9">
      <c r="B155" s="5"/>
      <c r="C155" s="5"/>
      <c r="D155" s="5"/>
      <c r="E155" s="5"/>
      <c r="F155" s="5"/>
      <c r="G155" s="5"/>
      <c r="H155" s="5"/>
    </row>
    <row r="156" spans="2:9">
      <c r="B156" s="5"/>
      <c r="C156" s="5"/>
      <c r="D156" s="5"/>
      <c r="E156" s="5"/>
      <c r="F156" s="5"/>
      <c r="G156" s="5"/>
      <c r="H156" s="5"/>
    </row>
    <row r="157" spans="2:9">
      <c r="B157" s="5"/>
      <c r="C157" s="5"/>
      <c r="D157" s="5"/>
      <c r="E157" s="5"/>
      <c r="F157" s="5"/>
      <c r="G157" s="5"/>
      <c r="H157" s="5"/>
    </row>
    <row r="158" spans="2:9">
      <c r="B158" s="5"/>
      <c r="C158" s="5"/>
      <c r="D158" s="5"/>
      <c r="E158" s="5"/>
      <c r="F158" s="5"/>
      <c r="G158" s="5"/>
      <c r="H158" s="5"/>
    </row>
    <row r="159" spans="2:9">
      <c r="B159" s="5"/>
      <c r="C159" s="5"/>
      <c r="D159" s="5"/>
      <c r="E159" s="5"/>
      <c r="F159" s="5"/>
      <c r="G159" s="5"/>
      <c r="H159" s="5"/>
    </row>
    <row r="160" spans="2:9">
      <c r="B160" s="5"/>
      <c r="C160" s="5"/>
      <c r="D160" s="5"/>
      <c r="E160" s="5"/>
      <c r="F160" s="5"/>
      <c r="G160" s="5"/>
      <c r="H160" s="5"/>
    </row>
    <row r="161" spans="2:8">
      <c r="B161" s="5"/>
      <c r="C161" s="5"/>
      <c r="D161" s="5"/>
      <c r="E161" s="5"/>
      <c r="F161" s="5"/>
      <c r="G161" s="5"/>
      <c r="H161" s="5"/>
    </row>
    <row r="162" spans="2:8">
      <c r="B162" s="5"/>
      <c r="C162" s="5"/>
      <c r="D162" s="5"/>
      <c r="E162" s="5"/>
      <c r="F162" s="5"/>
      <c r="G162" s="5"/>
      <c r="H162" s="5"/>
    </row>
    <row r="163" spans="2:8">
      <c r="B163" s="5"/>
      <c r="C163" s="5"/>
      <c r="D163" s="5"/>
      <c r="E163" s="5"/>
      <c r="F163" s="5"/>
      <c r="G163" s="5"/>
      <c r="H163" s="5"/>
    </row>
    <row r="164" spans="2:8">
      <c r="B164" s="5"/>
      <c r="C164" s="5"/>
      <c r="D164" s="5"/>
      <c r="E164" s="5"/>
      <c r="F164" s="5"/>
      <c r="G164" s="5"/>
      <c r="H164" s="5"/>
    </row>
    <row r="165" spans="2:8">
      <c r="B165" s="5"/>
      <c r="C165" s="5"/>
      <c r="D165" s="5"/>
      <c r="E165" s="5"/>
      <c r="F165" s="5"/>
      <c r="G165" s="5"/>
      <c r="H165" s="5"/>
    </row>
    <row r="166" spans="2:8">
      <c r="B166" s="5"/>
      <c r="C166" s="5"/>
      <c r="D166" s="5"/>
      <c r="E166" s="5"/>
      <c r="F166" s="5"/>
      <c r="G166" s="5"/>
      <c r="H166" s="5"/>
    </row>
    <row r="167" spans="2:8">
      <c r="B167" s="5"/>
      <c r="C167" s="5"/>
      <c r="D167" s="5"/>
      <c r="E167" s="5"/>
      <c r="F167" s="5"/>
      <c r="G167" s="5"/>
      <c r="H167" s="5"/>
    </row>
    <row r="168" spans="2:8">
      <c r="B168" s="5"/>
      <c r="C168" s="5"/>
      <c r="D168" s="5"/>
      <c r="E168" s="5"/>
      <c r="F168" s="5"/>
      <c r="G168" s="5"/>
      <c r="H168" s="5"/>
    </row>
    <row r="169" spans="2:8">
      <c r="B169" s="5"/>
      <c r="C169" s="5"/>
      <c r="D169" s="5"/>
      <c r="E169" s="5"/>
      <c r="F169" s="5"/>
      <c r="G169" s="5"/>
      <c r="H169" s="5"/>
    </row>
    <row r="170" spans="2:8">
      <c r="B170" s="5"/>
      <c r="C170" s="5"/>
      <c r="D170" s="5"/>
      <c r="E170" s="5"/>
      <c r="F170" s="5"/>
      <c r="G170" s="5"/>
      <c r="H170" s="5"/>
    </row>
    <row r="171" spans="2:8">
      <c r="B171" s="5"/>
      <c r="C171" s="5"/>
      <c r="D171" s="5"/>
      <c r="E171" s="5"/>
      <c r="F171" s="5"/>
      <c r="G171" s="5"/>
      <c r="H171" s="5"/>
    </row>
    <row r="172" spans="2:8">
      <c r="B172" s="5"/>
      <c r="C172" s="5"/>
      <c r="D172" s="5"/>
      <c r="E172" s="5"/>
      <c r="F172" s="5"/>
      <c r="G172" s="5"/>
      <c r="H172" s="5"/>
    </row>
    <row r="173" spans="2:8">
      <c r="B173" s="5"/>
      <c r="C173" s="5"/>
      <c r="D173" s="5"/>
      <c r="E173" s="5"/>
      <c r="F173" s="5"/>
      <c r="G173" s="5"/>
      <c r="H173" s="5"/>
    </row>
    <row r="174" spans="2:8">
      <c r="B174" s="5"/>
      <c r="C174" s="5"/>
      <c r="D174" s="5"/>
      <c r="E174" s="5"/>
      <c r="F174" s="5"/>
      <c r="G174" s="5"/>
      <c r="H174" s="5"/>
    </row>
    <row r="175" spans="2:8">
      <c r="B175" s="5"/>
      <c r="C175" s="5"/>
      <c r="D175" s="5"/>
      <c r="E175" s="5"/>
      <c r="F175" s="5"/>
      <c r="G175" s="5"/>
      <c r="H175" s="5"/>
    </row>
    <row r="176" spans="2:8">
      <c r="B176" s="5"/>
      <c r="C176" s="5"/>
      <c r="D176" s="5"/>
      <c r="E176" s="5"/>
      <c r="F176" s="5"/>
      <c r="G176" s="5"/>
      <c r="H176" s="5"/>
    </row>
    <row r="177" spans="2:8">
      <c r="B177" s="5"/>
      <c r="C177" s="5"/>
      <c r="D177" s="5"/>
      <c r="E177" s="5"/>
      <c r="F177" s="5"/>
      <c r="G177" s="5"/>
      <c r="H177" s="5"/>
    </row>
    <row r="178" spans="2:8">
      <c r="B178" s="5"/>
      <c r="C178" s="5"/>
      <c r="D178" s="5"/>
      <c r="E178" s="5"/>
      <c r="F178" s="5"/>
      <c r="G178" s="5"/>
      <c r="H17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Титульный</vt:lpstr>
      <vt:lpstr>МЭД</vt:lpstr>
      <vt:lpstr>ППР</vt:lpstr>
      <vt:lpstr>генератор</vt:lpstr>
      <vt:lpstr>генератор (2)</vt:lpstr>
      <vt:lpstr>МЭД!Заголовки_для_печати</vt:lpstr>
      <vt:lpstr>ППР!Заголовки_для_печати</vt:lpstr>
      <vt:lpstr>МЭД!Область_печати</vt:lpstr>
      <vt:lpstr>ППР!Область_печати</vt:lpstr>
      <vt:lpstr>Титульный!Область_печати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Максим Тарновский</cp:lastModifiedBy>
  <cp:lastPrinted>2025-12-24T07:16:15Z</cp:lastPrinted>
  <dcterms:created xsi:type="dcterms:W3CDTF">2015-06-05T18:19:34Z</dcterms:created>
  <dcterms:modified xsi:type="dcterms:W3CDTF">2026-06-16T05:14:25Z</dcterms:modified>
</cp:coreProperties>
</file>